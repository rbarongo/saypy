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_rwey\python\Saypy\saypy\"/>
    </mc:Choice>
  </mc:AlternateContent>
  <xr:revisionPtr revIDLastSave="0" documentId="13_ncr:1_{D7A03876-61F0-4DF0-A6D5-00F6784483D5}" xr6:coauthVersionLast="47" xr6:coauthVersionMax="47" xr10:uidLastSave="{00000000-0000-0000-0000-000000000000}"/>
  <bookViews>
    <workbookView xWindow="1944" yWindow="1350" windowWidth="14478" windowHeight="11904" xr2:uid="{00000000-000D-0000-FFFF-FFFF00000000}"/>
  </bookViews>
  <sheets>
    <sheet name="04-JAN " sheetId="1" r:id="rId1"/>
    <sheet name="Sheet2" sheetId="13" state="hidden" r:id="rId2"/>
    <sheet name="TAARIFA CONF MWEZI JANUARY  (2" sheetId="47" state="hidden" r:id="rId3"/>
    <sheet name="TAARIFA CONF MWEZI JANUARY 2025" sheetId="48" state="hidden" r:id="rId4"/>
  </sheets>
  <definedNames>
    <definedName name="_xlnm._FilterDatabase" localSheetId="0" hidden="1">'04-JAN '!$A$1:$AC$998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1" roundtripDataChecksum="78zQIxcaoVEf05DHnvaVEZfCh5Uj9kX9JjNiC58bHOg="/>
    </ext>
  </extLst>
</workbook>
</file>

<file path=xl/calcChain.xml><?xml version="1.0" encoding="utf-8"?>
<calcChain xmlns="http://schemas.openxmlformats.org/spreadsheetml/2006/main">
  <c r="M303" i="48" l="1"/>
  <c r="C297" i="48"/>
  <c r="M297" i="48" s="1"/>
  <c r="M296" i="48"/>
  <c r="M295" i="48"/>
  <c r="M294" i="48"/>
  <c r="M293" i="48"/>
  <c r="M292" i="48"/>
  <c r="M244" i="48"/>
  <c r="M243" i="48"/>
  <c r="M242" i="48"/>
  <c r="M241" i="48"/>
  <c r="M240" i="48"/>
  <c r="M239" i="48"/>
  <c r="M238" i="48"/>
  <c r="M237" i="48"/>
  <c r="M236" i="48"/>
  <c r="M235" i="48"/>
  <c r="M234" i="48"/>
  <c r="M233" i="48"/>
  <c r="M232" i="48"/>
  <c r="M231" i="48"/>
  <c r="M230" i="48"/>
  <c r="M229" i="48"/>
  <c r="M228" i="48"/>
  <c r="M227" i="48"/>
  <c r="M226" i="48"/>
  <c r="M225" i="48"/>
  <c r="M224" i="48"/>
  <c r="M223" i="48"/>
  <c r="M222" i="48"/>
  <c r="M221" i="48"/>
  <c r="M220" i="48"/>
  <c r="M219" i="48"/>
  <c r="M218" i="48"/>
  <c r="M217" i="48"/>
  <c r="M216" i="48"/>
  <c r="M215" i="48"/>
  <c r="M214" i="48"/>
  <c r="M213" i="48"/>
  <c r="M212" i="48"/>
  <c r="M211" i="48"/>
  <c r="M210" i="48"/>
  <c r="M209" i="48"/>
  <c r="M208" i="48"/>
  <c r="M207" i="48"/>
  <c r="M206" i="48"/>
  <c r="M205" i="48"/>
  <c r="M204" i="48"/>
  <c r="M203" i="48"/>
  <c r="M202" i="48"/>
  <c r="M201" i="48"/>
  <c r="M200" i="48"/>
  <c r="M199" i="48"/>
  <c r="M198" i="48"/>
  <c r="M197" i="48"/>
  <c r="M196" i="48"/>
  <c r="M195" i="48"/>
  <c r="M194" i="48"/>
  <c r="M193" i="48"/>
  <c r="M192" i="48"/>
  <c r="M191" i="48"/>
  <c r="M190" i="48"/>
  <c r="M189" i="48"/>
  <c r="M188" i="48"/>
  <c r="M187" i="48"/>
  <c r="M186" i="48"/>
  <c r="M185" i="48"/>
  <c r="M184" i="48"/>
  <c r="M183" i="48"/>
  <c r="M182" i="48"/>
  <c r="M181" i="48"/>
  <c r="M180" i="48"/>
  <c r="M179" i="48"/>
  <c r="M178" i="48"/>
  <c r="M177" i="48"/>
  <c r="M176" i="48"/>
  <c r="M175" i="48"/>
  <c r="M174" i="48"/>
  <c r="M173" i="48"/>
  <c r="M172" i="48"/>
  <c r="M171" i="48"/>
  <c r="M170" i="48"/>
  <c r="M169" i="48"/>
  <c r="M168" i="48"/>
  <c r="M167" i="48"/>
  <c r="M166" i="48"/>
  <c r="M165" i="48"/>
  <c r="M164" i="48"/>
  <c r="M163" i="48"/>
  <c r="M162" i="48"/>
  <c r="M161" i="48"/>
  <c r="M160" i="48"/>
  <c r="M159" i="48"/>
  <c r="M158" i="48"/>
  <c r="M157" i="48"/>
  <c r="M156" i="48"/>
  <c r="M155" i="48"/>
  <c r="M154" i="48"/>
  <c r="M153" i="48"/>
  <c r="M152" i="48"/>
  <c r="M151" i="48"/>
  <c r="M150" i="48"/>
  <c r="M149" i="48"/>
  <c r="M148" i="48"/>
  <c r="M147" i="48"/>
  <c r="M146" i="48"/>
  <c r="M145" i="48"/>
  <c r="M144" i="48"/>
  <c r="M143" i="48"/>
  <c r="M142" i="48"/>
  <c r="M141" i="48"/>
  <c r="M140" i="48"/>
  <c r="M139" i="48"/>
  <c r="M138" i="48"/>
  <c r="M137" i="48"/>
  <c r="M136" i="48"/>
  <c r="M135" i="48"/>
  <c r="M134" i="48"/>
  <c r="M133" i="48"/>
  <c r="M132" i="48"/>
  <c r="M131" i="48"/>
  <c r="M130" i="48"/>
  <c r="M129" i="48"/>
  <c r="M128" i="48"/>
  <c r="M127" i="48"/>
  <c r="M126" i="48"/>
  <c r="M125" i="48"/>
  <c r="M124" i="48"/>
  <c r="M123" i="48"/>
  <c r="M122" i="48"/>
  <c r="M121" i="48"/>
  <c r="M120" i="48"/>
  <c r="M119" i="48"/>
  <c r="M118" i="48"/>
  <c r="M117" i="48"/>
  <c r="M116" i="48"/>
  <c r="M115" i="48"/>
  <c r="M114" i="48"/>
  <c r="M113" i="48"/>
  <c r="M112" i="48"/>
  <c r="M111" i="48"/>
  <c r="M110" i="48"/>
  <c r="M109" i="48"/>
  <c r="M108" i="48"/>
  <c r="M107" i="48"/>
  <c r="M106" i="48"/>
  <c r="M105" i="48"/>
  <c r="M104" i="48"/>
  <c r="M103" i="48"/>
  <c r="M102" i="48"/>
  <c r="M101" i="48"/>
  <c r="M100" i="48"/>
  <c r="M99" i="48"/>
  <c r="M98" i="48"/>
  <c r="M97" i="48"/>
  <c r="M96" i="48"/>
  <c r="M95" i="48"/>
  <c r="M94" i="48"/>
  <c r="M93" i="48"/>
  <c r="M92" i="48"/>
  <c r="M91" i="48"/>
  <c r="M90" i="48"/>
  <c r="M89" i="48"/>
  <c r="M88" i="48"/>
  <c r="M87" i="48"/>
  <c r="M86" i="48"/>
  <c r="M85" i="48"/>
  <c r="M84" i="48"/>
  <c r="M83" i="48"/>
  <c r="M82" i="48"/>
  <c r="M81" i="48"/>
  <c r="M80" i="48"/>
  <c r="M79" i="48"/>
  <c r="M78" i="48"/>
  <c r="M77" i="48"/>
  <c r="M76" i="48"/>
  <c r="M75" i="48"/>
  <c r="M74" i="48"/>
  <c r="M73" i="48"/>
  <c r="M72" i="48"/>
  <c r="M71" i="48"/>
  <c r="M70" i="48"/>
  <c r="M69" i="48"/>
  <c r="M68" i="48"/>
  <c r="M67" i="48"/>
  <c r="M66" i="48"/>
  <c r="M65" i="48"/>
  <c r="M64" i="48"/>
  <c r="M63" i="48"/>
  <c r="M62" i="48"/>
  <c r="M61" i="48"/>
  <c r="M60" i="48"/>
  <c r="M59" i="48"/>
  <c r="M58" i="48"/>
  <c r="M57" i="48"/>
  <c r="M56" i="48"/>
  <c r="M55" i="48"/>
  <c r="M54" i="48"/>
  <c r="M53" i="48"/>
  <c r="M52" i="48"/>
  <c r="M51" i="48"/>
  <c r="M50" i="48"/>
  <c r="M49" i="48"/>
  <c r="M48" i="48"/>
  <c r="M47" i="48"/>
  <c r="M46" i="48"/>
  <c r="M45" i="48"/>
  <c r="M44" i="48"/>
  <c r="M43" i="48"/>
  <c r="M42" i="48"/>
  <c r="M41" i="48"/>
  <c r="M40" i="48"/>
  <c r="M39" i="48"/>
  <c r="M38" i="48"/>
  <c r="M37" i="48"/>
  <c r="M36" i="48"/>
  <c r="M35" i="48"/>
  <c r="M34" i="48"/>
  <c r="M33" i="48"/>
  <c r="M32" i="48"/>
  <c r="M31" i="48"/>
  <c r="M30" i="48"/>
  <c r="M29" i="48"/>
  <c r="P28" i="48"/>
  <c r="M28" i="48"/>
  <c r="M27" i="48"/>
  <c r="Q26" i="48"/>
  <c r="P26" i="48"/>
  <c r="O26" i="48"/>
  <c r="N26" i="48"/>
  <c r="D26" i="48"/>
  <c r="M25" i="48"/>
  <c r="E24" i="48"/>
  <c r="M23" i="48"/>
  <c r="R23" i="48" s="1"/>
  <c r="F22" i="48"/>
  <c r="M22" i="48" s="1"/>
  <c r="R22" i="48" s="1"/>
  <c r="F21" i="48"/>
  <c r="M21" i="48" s="1"/>
  <c r="R21" i="48" s="1"/>
  <c r="F20" i="48"/>
  <c r="M20" i="48" s="1"/>
  <c r="R20" i="48" s="1"/>
  <c r="F19" i="48"/>
  <c r="M19" i="48" s="1"/>
  <c r="R19" i="48" s="1"/>
  <c r="C17" i="48"/>
  <c r="M15" i="48"/>
  <c r="Q14" i="48"/>
  <c r="Q28" i="48" s="1"/>
  <c r="P14" i="48"/>
  <c r="O14" i="48"/>
  <c r="O28" i="48" s="1"/>
  <c r="N14" i="48"/>
  <c r="N28" i="48" s="1"/>
  <c r="M14" i="48"/>
  <c r="R13" i="48"/>
  <c r="M13" i="48"/>
  <c r="E12" i="48"/>
  <c r="E26" i="48" s="1"/>
  <c r="M11" i="48"/>
  <c r="R11" i="48" s="1"/>
  <c r="F11" i="48"/>
  <c r="F10" i="48"/>
  <c r="M10" i="48" s="1"/>
  <c r="R10" i="48" s="1"/>
  <c r="F8" i="48"/>
  <c r="M8" i="48" s="1"/>
  <c r="F7" i="48"/>
  <c r="M7" i="48" s="1"/>
  <c r="M6" i="48"/>
  <c r="M5" i="48"/>
  <c r="M4" i="48"/>
  <c r="M3" i="48"/>
  <c r="M303" i="47"/>
  <c r="C297" i="47"/>
  <c r="M297" i="47" s="1"/>
  <c r="M296" i="47"/>
  <c r="M295" i="47"/>
  <c r="M294" i="47"/>
  <c r="M293" i="47"/>
  <c r="M292" i="47"/>
  <c r="J302" i="47" s="1"/>
  <c r="L306" i="47" s="1"/>
  <c r="M244" i="47"/>
  <c r="M243" i="47"/>
  <c r="M242" i="47"/>
  <c r="M241" i="47"/>
  <c r="M240" i="47"/>
  <c r="M239" i="47"/>
  <c r="M238" i="47"/>
  <c r="M237" i="47"/>
  <c r="M236" i="47"/>
  <c r="M235" i="47"/>
  <c r="M234" i="47"/>
  <c r="M233" i="47"/>
  <c r="M232" i="47"/>
  <c r="M231" i="47"/>
  <c r="M230" i="47"/>
  <c r="M229" i="47"/>
  <c r="M228" i="47"/>
  <c r="M227" i="47"/>
  <c r="M226" i="47"/>
  <c r="M225" i="47"/>
  <c r="M224" i="47"/>
  <c r="M223" i="47"/>
  <c r="M222" i="47"/>
  <c r="M221" i="47"/>
  <c r="M220" i="47"/>
  <c r="M219" i="47"/>
  <c r="M218" i="47"/>
  <c r="M217" i="47"/>
  <c r="M216" i="47"/>
  <c r="M215" i="47"/>
  <c r="M214" i="47"/>
  <c r="M213" i="47"/>
  <c r="M212" i="47"/>
  <c r="M211" i="47"/>
  <c r="M210" i="47"/>
  <c r="M209" i="47"/>
  <c r="M208" i="47"/>
  <c r="M207" i="47"/>
  <c r="M206" i="47"/>
  <c r="M205" i="47"/>
  <c r="M204" i="47"/>
  <c r="M203" i="47"/>
  <c r="M202" i="47"/>
  <c r="M201" i="47"/>
  <c r="M200" i="47"/>
  <c r="M199" i="47"/>
  <c r="M198" i="47"/>
  <c r="M197" i="47"/>
  <c r="M196" i="47"/>
  <c r="M195" i="47"/>
  <c r="M194" i="47"/>
  <c r="M193" i="47"/>
  <c r="M192" i="47"/>
  <c r="M191" i="47"/>
  <c r="M190" i="47"/>
  <c r="M189" i="47"/>
  <c r="M188" i="47"/>
  <c r="M187" i="47"/>
  <c r="M186" i="47"/>
  <c r="M185" i="47"/>
  <c r="M184" i="47"/>
  <c r="M183" i="47"/>
  <c r="M182" i="47"/>
  <c r="M181" i="47"/>
  <c r="M180" i="47"/>
  <c r="M179" i="47"/>
  <c r="M178" i="47"/>
  <c r="M177" i="47"/>
  <c r="M176" i="47"/>
  <c r="M175" i="47"/>
  <c r="M174" i="47"/>
  <c r="M173" i="47"/>
  <c r="M172" i="47"/>
  <c r="M171" i="47"/>
  <c r="M170" i="47"/>
  <c r="M169" i="47"/>
  <c r="M168" i="47"/>
  <c r="M167" i="47"/>
  <c r="M166" i="47"/>
  <c r="M165" i="47"/>
  <c r="M164" i="47"/>
  <c r="M163" i="47"/>
  <c r="M162" i="47"/>
  <c r="M161" i="47"/>
  <c r="M160" i="47"/>
  <c r="M159" i="47"/>
  <c r="M158" i="47"/>
  <c r="M157" i="47"/>
  <c r="M156" i="47"/>
  <c r="M155" i="47"/>
  <c r="M154" i="47"/>
  <c r="M153" i="47"/>
  <c r="M152" i="47"/>
  <c r="M151" i="47"/>
  <c r="M150" i="47"/>
  <c r="M149" i="47"/>
  <c r="M148" i="47"/>
  <c r="M147" i="47"/>
  <c r="M146" i="47"/>
  <c r="M145" i="47"/>
  <c r="M144" i="47"/>
  <c r="M143" i="47"/>
  <c r="M142" i="47"/>
  <c r="M141" i="47"/>
  <c r="M140" i="47"/>
  <c r="M139" i="47"/>
  <c r="M138" i="47"/>
  <c r="M137" i="47"/>
  <c r="M136" i="47"/>
  <c r="M135" i="47"/>
  <c r="M134" i="47"/>
  <c r="M133" i="47"/>
  <c r="M132" i="47"/>
  <c r="M131" i="47"/>
  <c r="M130" i="47"/>
  <c r="M129" i="47"/>
  <c r="M128" i="47"/>
  <c r="M127" i="47"/>
  <c r="M126" i="47"/>
  <c r="M125" i="47"/>
  <c r="M124" i="47"/>
  <c r="M123" i="47"/>
  <c r="M122" i="47"/>
  <c r="M121" i="47"/>
  <c r="M120" i="47"/>
  <c r="M119" i="47"/>
  <c r="M118" i="47"/>
  <c r="M117" i="47"/>
  <c r="M116" i="47"/>
  <c r="M115" i="47"/>
  <c r="M114" i="47"/>
  <c r="M113" i="47"/>
  <c r="M112" i="47"/>
  <c r="M111" i="47"/>
  <c r="M110" i="47"/>
  <c r="M109" i="47"/>
  <c r="M108" i="47"/>
  <c r="M107" i="47"/>
  <c r="M106" i="47"/>
  <c r="M105" i="47"/>
  <c r="M104" i="47"/>
  <c r="M103" i="47"/>
  <c r="M102" i="47"/>
  <c r="M101" i="47"/>
  <c r="M100" i="47"/>
  <c r="M99" i="47"/>
  <c r="M98" i="47"/>
  <c r="M97" i="47"/>
  <c r="M96" i="47"/>
  <c r="M95" i="47"/>
  <c r="M94" i="47"/>
  <c r="M93" i="47"/>
  <c r="M92" i="47"/>
  <c r="M91" i="47"/>
  <c r="M90" i="47"/>
  <c r="M89" i="47"/>
  <c r="M88" i="47"/>
  <c r="M87" i="47"/>
  <c r="M86" i="47"/>
  <c r="M85" i="47"/>
  <c r="M84" i="47"/>
  <c r="M83" i="47"/>
  <c r="M82" i="47"/>
  <c r="M81" i="47"/>
  <c r="M80" i="47"/>
  <c r="M79" i="47"/>
  <c r="M78" i="47"/>
  <c r="M77" i="47"/>
  <c r="M76" i="47"/>
  <c r="M75" i="47"/>
  <c r="M74" i="47"/>
  <c r="M73" i="47"/>
  <c r="M72" i="47"/>
  <c r="M71" i="47"/>
  <c r="M70" i="47"/>
  <c r="M69" i="47"/>
  <c r="M68" i="47"/>
  <c r="M67" i="47"/>
  <c r="M66" i="47"/>
  <c r="M65" i="47"/>
  <c r="M64" i="47"/>
  <c r="M63" i="47"/>
  <c r="M62" i="47"/>
  <c r="M61" i="47"/>
  <c r="M60" i="47"/>
  <c r="M59" i="47"/>
  <c r="M58" i="47"/>
  <c r="M57" i="47"/>
  <c r="M56" i="47"/>
  <c r="M55" i="47"/>
  <c r="M54" i="47"/>
  <c r="M53" i="47"/>
  <c r="M52" i="47"/>
  <c r="M51" i="47"/>
  <c r="M50" i="47"/>
  <c r="M49" i="47"/>
  <c r="M48" i="47"/>
  <c r="M47" i="47"/>
  <c r="M46" i="47"/>
  <c r="M45" i="47"/>
  <c r="M44" i="47"/>
  <c r="M43" i="47"/>
  <c r="M42" i="47"/>
  <c r="M41" i="47"/>
  <c r="M40" i="47"/>
  <c r="M39" i="47"/>
  <c r="M38" i="47"/>
  <c r="M37" i="47"/>
  <c r="M36" i="47"/>
  <c r="M35" i="47"/>
  <c r="M34" i="47"/>
  <c r="M33" i="47"/>
  <c r="M32" i="47"/>
  <c r="M31" i="47"/>
  <c r="M30" i="47"/>
  <c r="M29" i="47"/>
  <c r="M28" i="47"/>
  <c r="M27" i="47"/>
  <c r="Q26" i="47"/>
  <c r="P26" i="47"/>
  <c r="O26" i="47"/>
  <c r="N26" i="47"/>
  <c r="D26" i="47"/>
  <c r="M25" i="47"/>
  <c r="E24" i="47"/>
  <c r="M23" i="47"/>
  <c r="R23" i="47" s="1"/>
  <c r="F22" i="47"/>
  <c r="M22" i="47" s="1"/>
  <c r="R22" i="47" s="1"/>
  <c r="M21" i="47"/>
  <c r="R21" i="47" s="1"/>
  <c r="F21" i="47"/>
  <c r="F20" i="47"/>
  <c r="M20" i="47" s="1"/>
  <c r="R20" i="47" s="1"/>
  <c r="F19" i="47"/>
  <c r="M19" i="47" s="1"/>
  <c r="R19" i="47" s="1"/>
  <c r="C17" i="47"/>
  <c r="F17" i="47" s="1"/>
  <c r="M15" i="47"/>
  <c r="Q14" i="47"/>
  <c r="P14" i="47"/>
  <c r="P28" i="47" s="1"/>
  <c r="O14" i="47"/>
  <c r="O28" i="47" s="1"/>
  <c r="N14" i="47"/>
  <c r="N28" i="47" s="1"/>
  <c r="M14" i="47"/>
  <c r="M13" i="47"/>
  <c r="R13" i="47" s="1"/>
  <c r="E12" i="47"/>
  <c r="E26" i="47" s="1"/>
  <c r="F11" i="47"/>
  <c r="M11" i="47" s="1"/>
  <c r="R11" i="47" s="1"/>
  <c r="M10" i="47"/>
  <c r="R10" i="47" s="1"/>
  <c r="F10" i="47"/>
  <c r="F8" i="47"/>
  <c r="M8" i="47" s="1"/>
  <c r="M7" i="47"/>
  <c r="F7" i="47"/>
  <c r="M6" i="47"/>
  <c r="M5" i="47"/>
  <c r="M4" i="47"/>
  <c r="M3" i="47"/>
  <c r="E240" i="1"/>
  <c r="D237" i="1"/>
  <c r="D236" i="1"/>
  <c r="E234" i="1"/>
  <c r="L225" i="1"/>
  <c r="K225" i="1"/>
  <c r="J225" i="1"/>
  <c r="I225" i="1"/>
  <c r="H225" i="1"/>
  <c r="D238" i="1" s="1"/>
  <c r="G225" i="1"/>
  <c r="C236" i="1" s="1"/>
  <c r="F225" i="1"/>
  <c r="D235" i="1" s="1"/>
  <c r="E225" i="1"/>
  <c r="D239" i="1" s="1"/>
  <c r="D225" i="1"/>
  <c r="C233" i="1" s="1"/>
  <c r="C225" i="1"/>
  <c r="C232" i="1" s="1"/>
  <c r="M224" i="1"/>
  <c r="M223" i="1"/>
  <c r="M222" i="1"/>
  <c r="J230" i="1" s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229" i="1" l="1"/>
  <c r="J231" i="1" s="1"/>
  <c r="M17" i="47"/>
  <c r="E232" i="1"/>
  <c r="E239" i="1"/>
  <c r="C16" i="48"/>
  <c r="C16" i="47"/>
  <c r="C18" i="48"/>
  <c r="C18" i="47"/>
  <c r="E238" i="1"/>
  <c r="D233" i="1"/>
  <c r="E233" i="1" s="1"/>
  <c r="E236" i="1"/>
  <c r="C9" i="48"/>
  <c r="C9" i="47"/>
  <c r="C235" i="1"/>
  <c r="M225" i="1"/>
  <c r="E237" i="1"/>
  <c r="J302" i="48"/>
  <c r="L306" i="48" s="1"/>
  <c r="Q28" i="47"/>
  <c r="M17" i="48"/>
  <c r="F17" i="48"/>
  <c r="M18" i="47" l="1"/>
  <c r="R18" i="47" s="1"/>
  <c r="F18" i="47"/>
  <c r="C12" i="47"/>
  <c r="M9" i="47"/>
  <c r="F9" i="47"/>
  <c r="F12" i="47" s="1"/>
  <c r="M18" i="48"/>
  <c r="R18" i="48" s="1"/>
  <c r="F18" i="48"/>
  <c r="M16" i="47"/>
  <c r="F16" i="47"/>
  <c r="F24" i="47" s="1"/>
  <c r="M24" i="47" s="1"/>
  <c r="R24" i="47" s="1"/>
  <c r="E235" i="1"/>
  <c r="F9" i="48"/>
  <c r="F12" i="48" s="1"/>
  <c r="M9" i="48"/>
  <c r="C12" i="48"/>
  <c r="F16" i="48"/>
  <c r="F24" i="48" s="1"/>
  <c r="M24" i="48" s="1"/>
  <c r="R24" i="48" s="1"/>
  <c r="M16" i="48"/>
  <c r="E241" i="1"/>
  <c r="G241" i="1" s="1"/>
  <c r="C241" i="1"/>
  <c r="D241" i="1"/>
  <c r="F26" i="48" l="1"/>
  <c r="R26" i="48"/>
  <c r="R26" i="47"/>
  <c r="C26" i="48"/>
  <c r="M26" i="48" s="1"/>
  <c r="M12" i="48"/>
  <c r="R12" i="48" s="1"/>
  <c r="F26" i="47"/>
  <c r="R9" i="48"/>
  <c r="J301" i="48"/>
  <c r="L305" i="48" s="1"/>
  <c r="L307" i="48" s="1"/>
  <c r="R9" i="47"/>
  <c r="R14" i="47" s="1"/>
  <c r="J301" i="47"/>
  <c r="L305" i="47" s="1"/>
  <c r="L307" i="47" s="1"/>
  <c r="M12" i="47"/>
  <c r="R12" i="47" s="1"/>
  <c r="C26" i="47"/>
  <c r="M26" i="47" s="1"/>
  <c r="R28" i="47" l="1"/>
  <c r="R14" i="48"/>
  <c r="R28" i="48" s="1"/>
</calcChain>
</file>

<file path=xl/sharedStrings.xml><?xml version="1.0" encoding="utf-8"?>
<sst xmlns="http://schemas.openxmlformats.org/spreadsheetml/2006/main" count="916" uniqueCount="531">
  <si>
    <t xml:space="preserve">S/N </t>
  </si>
  <si>
    <t>JINA</t>
  </si>
  <si>
    <t>ZAKA</t>
  </si>
  <si>
    <t>SADAKA</t>
  </si>
  <si>
    <t>M/KANISA</t>
  </si>
  <si>
    <t>SHUKRANI</t>
  </si>
  <si>
    <t>S/KAMBI</t>
  </si>
  <si>
    <t>MAHUBIRI</t>
  </si>
  <si>
    <t>M/MEZA</t>
  </si>
  <si>
    <t>KWAYA</t>
  </si>
  <si>
    <t>MAJENGO</t>
  </si>
  <si>
    <t>MENGINEYO</t>
  </si>
  <si>
    <t>JUMLA</t>
  </si>
  <si>
    <t>CHADRACK NSYANGI</t>
  </si>
  <si>
    <t>Mr&amp;Mrs SABIBI ELIZABETH</t>
  </si>
  <si>
    <t>MASUDI EMMANUEL</t>
  </si>
  <si>
    <t>CASTON KALORI</t>
  </si>
  <si>
    <t>JULIETH BAGENI</t>
  </si>
  <si>
    <t>ENOCK SAULI</t>
  </si>
  <si>
    <t>HELLEN HANPHREY</t>
  </si>
  <si>
    <t>BARAKA KATWALE</t>
  </si>
  <si>
    <t>ELIAS PIUS</t>
  </si>
  <si>
    <t>ASUMA MUSA</t>
  </si>
  <si>
    <t>ANNA CHARLES</t>
  </si>
  <si>
    <t>MAUREEN DEDAN</t>
  </si>
  <si>
    <t>ELIZIA KENAN</t>
  </si>
  <si>
    <t>KARUMIA</t>
  </si>
  <si>
    <t>BRAYTON ODERA</t>
  </si>
  <si>
    <t>JONATHAN MPARE</t>
  </si>
  <si>
    <t>DICKSON ISACK</t>
  </si>
  <si>
    <t>VALIETH MGETA</t>
  </si>
  <si>
    <t>PEACE BARONGO</t>
  </si>
  <si>
    <t>ZAINAMU MWAMUCHA</t>
  </si>
  <si>
    <t>ISAYA DENA</t>
  </si>
  <si>
    <t>TUMAINI SHABANI</t>
  </si>
  <si>
    <t>EMMANUEL KOMBA</t>
  </si>
  <si>
    <t>MARIAM EMMANUEL</t>
  </si>
  <si>
    <t>EDSON MATIKO</t>
  </si>
  <si>
    <t>FARAJA ZAKARIA</t>
  </si>
  <si>
    <t xml:space="preserve">GIAMA </t>
  </si>
  <si>
    <t>CLARA WILFRED</t>
  </si>
  <si>
    <t>SOFIA JAMES</t>
  </si>
  <si>
    <t>ESTHA MAIGA</t>
  </si>
  <si>
    <t>EVA KILANGWA</t>
  </si>
  <si>
    <t>Mr&amp;Mrs KITIA SINGO</t>
  </si>
  <si>
    <t xml:space="preserve">WITHNESS </t>
  </si>
  <si>
    <t>SOSPETER BOGO</t>
  </si>
  <si>
    <t>MWIMA</t>
  </si>
  <si>
    <t>LETICIA MGETA</t>
  </si>
  <si>
    <t>DEUS SULE</t>
  </si>
  <si>
    <t>EVA CHARLES</t>
  </si>
  <si>
    <t>JAYDEN JOSEPHINE JOJO</t>
  </si>
  <si>
    <t>Dr MAIGA</t>
  </si>
  <si>
    <t>Mr&amp;Mrs KUSAYA</t>
  </si>
  <si>
    <t>PHILIMON NHANDI</t>
  </si>
  <si>
    <t>ERIETH CHANGWE</t>
  </si>
  <si>
    <t>PHILIMON JOSHUA</t>
  </si>
  <si>
    <t>UPENDO MTANGO</t>
  </si>
  <si>
    <t>JONIS RABIET</t>
  </si>
  <si>
    <t>ROGER PATSON</t>
  </si>
  <si>
    <t>ENOCK DANIEL</t>
  </si>
  <si>
    <t>CELI SANE</t>
  </si>
  <si>
    <t>VICKY ANDREA</t>
  </si>
  <si>
    <t>JOYCE SOSTENESS</t>
  </si>
  <si>
    <t>MARIAM SOSTENESS</t>
  </si>
  <si>
    <t>LUCY MUNGELE</t>
  </si>
  <si>
    <t>HERI BARAKA</t>
  </si>
  <si>
    <t>NEEMA LUCHIBA</t>
  </si>
  <si>
    <t>ZILPA ELIAS</t>
  </si>
  <si>
    <t>REBECCA KASIKA</t>
  </si>
  <si>
    <t>YOHANA MATHIAS</t>
  </si>
  <si>
    <t>RABSON FAMILY</t>
  </si>
  <si>
    <t>SARAH STEVEN</t>
  </si>
  <si>
    <t>JOHN MAUGO</t>
  </si>
  <si>
    <t>SCOLASTICA SENYI</t>
  </si>
  <si>
    <t>MARIAM TOBIAS</t>
  </si>
  <si>
    <t xml:space="preserve">ABEL JOSEPH </t>
  </si>
  <si>
    <t>SAMUEL NGUVILA</t>
  </si>
  <si>
    <t>SCOLASTICA MAKOBA</t>
  </si>
  <si>
    <t>SEBA PAULO</t>
  </si>
  <si>
    <t>Mr&amp;Mrs MAISA</t>
  </si>
  <si>
    <t>REHEMA BUNANA</t>
  </si>
  <si>
    <t>SAMUEL KISABO</t>
  </si>
  <si>
    <t>FREDY EZEKIEL</t>
  </si>
  <si>
    <t>SETI ELINIHAKI</t>
  </si>
  <si>
    <t>GRECIOUS MPASI</t>
  </si>
  <si>
    <t>EMMANUEL PETER</t>
  </si>
  <si>
    <t>JUMA KIMORI</t>
  </si>
  <si>
    <t>MAKRIN SAYA</t>
  </si>
  <si>
    <t>JULITHA DAMIAN</t>
  </si>
  <si>
    <t>ARUNI MAPESA</t>
  </si>
  <si>
    <t xml:space="preserve">10 DAYS </t>
  </si>
  <si>
    <t>WILFRED MASAKA</t>
  </si>
  <si>
    <t>MUSA EZEKIEL</t>
  </si>
  <si>
    <t>LIDIA UNDERSON</t>
  </si>
  <si>
    <t>NOELLA EDWARD</t>
  </si>
  <si>
    <t>KRIZENT MAKANJA</t>
  </si>
  <si>
    <t>DOTTO EMILIA</t>
  </si>
  <si>
    <t>DORA MALALE</t>
  </si>
  <si>
    <t>Mr&amp;Mrs NGASA</t>
  </si>
  <si>
    <t>YEREMIA MBONEA</t>
  </si>
  <si>
    <t>DANIEL MBILINGI</t>
  </si>
  <si>
    <t>TABITHA MATINDE</t>
  </si>
  <si>
    <t>NEEMA MJEMA</t>
  </si>
  <si>
    <t>SADOCK ELIAS</t>
  </si>
  <si>
    <t>JOHANSON JOHANSON</t>
  </si>
  <si>
    <t>DORCAS MDIMA</t>
  </si>
  <si>
    <t xml:space="preserve">BETHSHEBA DICKSON </t>
  </si>
  <si>
    <t>DEBORAH JOSHUA</t>
  </si>
  <si>
    <t>LABAN LUTENGWA</t>
  </si>
  <si>
    <t>MWITA SABATO</t>
  </si>
  <si>
    <t>EPHRAIM RAJABU</t>
  </si>
  <si>
    <t>BIVERY ASUKILE</t>
  </si>
  <si>
    <t>JULIANA FALMEN</t>
  </si>
  <si>
    <t>ESTHA SOSPETER</t>
  </si>
  <si>
    <t>ANITHA IPHRAIM</t>
  </si>
  <si>
    <t>JOHN KENAN</t>
  </si>
  <si>
    <t>CHRISTINA JOSEPH</t>
  </si>
  <si>
    <t>KENAN EDWIN</t>
  </si>
  <si>
    <t>ELISABETH LUHUTI</t>
  </si>
  <si>
    <t>SABINA PHOSTINA</t>
  </si>
  <si>
    <t>SIMON AMOS</t>
  </si>
  <si>
    <t>SUZANA MALIMI</t>
  </si>
  <si>
    <t>JOYLIN ZACHARIA</t>
  </si>
  <si>
    <t>ABIGAEL BARONGO</t>
  </si>
  <si>
    <t>JOSEPH CHACHA</t>
  </si>
  <si>
    <t>EDELINE MAIGA</t>
  </si>
  <si>
    <t>FAITH TUNDURU</t>
  </si>
  <si>
    <t>ESTELLE MAIGA</t>
  </si>
  <si>
    <t>DAVID MALIMA</t>
  </si>
  <si>
    <t>ALLEN SEVERIN</t>
  </si>
  <si>
    <t>JONELLE MAKAKI</t>
  </si>
  <si>
    <t>ESTHA SULIE</t>
  </si>
  <si>
    <t xml:space="preserve">EDITHA </t>
  </si>
  <si>
    <t>GOODLUCK STEPHANO</t>
  </si>
  <si>
    <t>SOSPETER BAUMBA</t>
  </si>
  <si>
    <t>JAYDEN MAKUBI</t>
  </si>
  <si>
    <t>ELLEN MUSABAHA</t>
  </si>
  <si>
    <t>GODFREY LWIZA</t>
  </si>
  <si>
    <t>MICHAEL MASALU</t>
  </si>
  <si>
    <t>MARIAM GECARIOUS</t>
  </si>
  <si>
    <t>AKILA DERICK</t>
  </si>
  <si>
    <t>MWASAMBEMBA YOHANA</t>
  </si>
  <si>
    <t xml:space="preserve">MIKAEL SAYI </t>
  </si>
  <si>
    <t>JORIN JOSEPH</t>
  </si>
  <si>
    <t xml:space="preserve">Mr&amp;Mrs FRANK </t>
  </si>
  <si>
    <t>ATIZIA MATIKO</t>
  </si>
  <si>
    <t>CJACKLYN NGASA</t>
  </si>
  <si>
    <t>CAREEN &amp; CLARA</t>
  </si>
  <si>
    <t xml:space="preserve">NYANGIGA CHRISTIAN </t>
  </si>
  <si>
    <t>BAHATI PHILI</t>
  </si>
  <si>
    <t>MADUHU KABUNDI</t>
  </si>
  <si>
    <t>LARISON MALIMA</t>
  </si>
  <si>
    <t>Mr&amp;Mrs BWIRE</t>
  </si>
  <si>
    <t>PURITY BARONGO</t>
  </si>
  <si>
    <t>BELTA NYA</t>
  </si>
  <si>
    <t>NATHAN NDIMBWA</t>
  </si>
  <si>
    <t>EMILY BERNARD</t>
  </si>
  <si>
    <t>EVELYN JONIS</t>
  </si>
  <si>
    <t>JAPHETH NDURU</t>
  </si>
  <si>
    <t>CECY NDIMBWA</t>
  </si>
  <si>
    <t>ESTHA KENAN</t>
  </si>
  <si>
    <t>ONG'AYO FAMILY</t>
  </si>
  <si>
    <t>DAISY BAGENI</t>
  </si>
  <si>
    <t>JAPHETH ALBERT</t>
  </si>
  <si>
    <t>ALIA INOCENT</t>
  </si>
  <si>
    <t>BARAKA MOLELY</t>
  </si>
  <si>
    <t>JOVIN JOSEPH</t>
  </si>
  <si>
    <t>GIFT RAMAZANI</t>
  </si>
  <si>
    <t>NATHAN MBEMBA</t>
  </si>
  <si>
    <t>SILAS MASATU</t>
  </si>
  <si>
    <t>MWAAWA ABDALLAH</t>
  </si>
  <si>
    <t>EVERIN DENDE</t>
  </si>
  <si>
    <t>EVAN KITIA</t>
  </si>
  <si>
    <t>THOMAS SABAGANGA</t>
  </si>
  <si>
    <t>TUMAINI ABAYO</t>
  </si>
  <si>
    <t>CRISTINA MASANJA</t>
  </si>
  <si>
    <t>EDEN MAIGA</t>
  </si>
  <si>
    <t>DAVID MKAMA</t>
  </si>
  <si>
    <t>ELISABETH MATHIAS</t>
  </si>
  <si>
    <t>DOREEN MBEMBA</t>
  </si>
  <si>
    <t xml:space="preserve">JENNY JOSETH </t>
  </si>
  <si>
    <t xml:space="preserve">CLARA WILLIAM </t>
  </si>
  <si>
    <t xml:space="preserve">LUCY  </t>
  </si>
  <si>
    <t>PRISCA MARONGO</t>
  </si>
  <si>
    <t>NATHANIEL PETER</t>
  </si>
  <si>
    <t>Mr&amp;MRS VICTOR MJEMA</t>
  </si>
  <si>
    <t>MATHIAS KITUNDU</t>
  </si>
  <si>
    <t>DAVID WEREMA</t>
  </si>
  <si>
    <t xml:space="preserve">ELIAS WILLIAM </t>
  </si>
  <si>
    <t>AGNES EMMANUEL</t>
  </si>
  <si>
    <t>SHALOLA TIMAGO</t>
  </si>
  <si>
    <t>SAMSON SAYE</t>
  </si>
  <si>
    <t>YOAB DAUSON</t>
  </si>
  <si>
    <t>MAXMILIAM MAYUNGA</t>
  </si>
  <si>
    <t>LIDIA AHADI</t>
  </si>
  <si>
    <t>NANCY UZE</t>
  </si>
  <si>
    <t>ELLEN SINGO</t>
  </si>
  <si>
    <t>MIRIAM KAINGA</t>
  </si>
  <si>
    <t>EMMANUEL MWANDETE</t>
  </si>
  <si>
    <t>SOSTENES LUCAS</t>
  </si>
  <si>
    <t xml:space="preserve">MARY DANIEL </t>
  </si>
  <si>
    <t>ELIA MAGOTI</t>
  </si>
  <si>
    <t>JHENE</t>
  </si>
  <si>
    <t>ELINZA PIUS</t>
  </si>
  <si>
    <t>ESTHA NDEGEJA</t>
  </si>
  <si>
    <t>SCOLASTICA KAMWELA</t>
  </si>
  <si>
    <t>SOLOMONI AMOS</t>
  </si>
  <si>
    <t>NIVEN GOLLINS</t>
  </si>
  <si>
    <t>NEEMA JEREMIA</t>
  </si>
  <si>
    <t>SHOWN SHADRACK</t>
  </si>
  <si>
    <t>AYUBU RABIET</t>
  </si>
  <si>
    <t>GIDION MWANDETE</t>
  </si>
  <si>
    <t>MAVANZA</t>
  </si>
  <si>
    <t>MILKA KWIGIZILE</t>
  </si>
  <si>
    <t>VENERANDA MORIS</t>
  </si>
  <si>
    <t>JHANEL MAKAKI</t>
  </si>
  <si>
    <t>REDEMPTOR PETER</t>
  </si>
  <si>
    <t>CAIRO MHILIWA</t>
  </si>
  <si>
    <t>MUJUNGU WILTON</t>
  </si>
  <si>
    <t>MESHACK ONGATI</t>
  </si>
  <si>
    <t>SADAKA YA HUDUMA</t>
  </si>
  <si>
    <t>MSAMARIA</t>
  </si>
  <si>
    <t>MUSHIRIKI</t>
  </si>
  <si>
    <t>Bank</t>
  </si>
  <si>
    <t>PAULO BUNINI</t>
  </si>
  <si>
    <t>HALL FAMILY</t>
  </si>
  <si>
    <t>BUYEGI BULENGELA</t>
  </si>
  <si>
    <t>Mr&amp;Mrs NGALULA</t>
  </si>
  <si>
    <t xml:space="preserve">OSCAR ZABRON </t>
  </si>
  <si>
    <t>Jumla</t>
  </si>
  <si>
    <t>,ngyt,ngyt xsw2</t>
  </si>
  <si>
    <t>\</t>
  </si>
  <si>
    <t>`</t>
  </si>
  <si>
    <t xml:space="preserve"> </t>
  </si>
  <si>
    <t>CASH</t>
  </si>
  <si>
    <t>TO BE BANKED</t>
  </si>
  <si>
    <t>BANK</t>
  </si>
  <si>
    <t>SEC</t>
  </si>
  <si>
    <t>Kibada</t>
  </si>
  <si>
    <t>10 DAYS OF PRAYER</t>
  </si>
  <si>
    <t>MAJENG0</t>
  </si>
  <si>
    <t>M/KANIS</t>
  </si>
  <si>
    <t>SADAKA YA MSAMARIA</t>
  </si>
  <si>
    <t>IMANI JOHN</t>
  </si>
  <si>
    <t>RAMBI RAMBI</t>
  </si>
  <si>
    <t>M/KAMBI</t>
  </si>
  <si>
    <t>LAMECK MAIGA</t>
  </si>
  <si>
    <t>MHAZINI</t>
  </si>
  <si>
    <t>MASHEMASI</t>
  </si>
  <si>
    <t xml:space="preserve">Cash </t>
  </si>
  <si>
    <t>TOTAL</t>
  </si>
  <si>
    <t>Milka Kwigizile</t>
  </si>
  <si>
    <t>Anna Charles</t>
  </si>
  <si>
    <t>Bless Emmanuel</t>
  </si>
  <si>
    <t>Lydia Anderson</t>
  </si>
  <si>
    <t>Baraka Masatu</t>
  </si>
  <si>
    <t>Japhet Mbonea</t>
  </si>
  <si>
    <t>Isaack Robson</t>
  </si>
  <si>
    <t>Maxwell Emmanuel</t>
  </si>
  <si>
    <t>Rebeca Masatu</t>
  </si>
  <si>
    <t>Judith Mangachi</t>
  </si>
  <si>
    <t>Neema Thomas</t>
  </si>
  <si>
    <t>Zilpa Silas</t>
  </si>
  <si>
    <t>Robson Family</t>
  </si>
  <si>
    <t>Grace Kulwa</t>
  </si>
  <si>
    <t>Emmanuel Lucas</t>
  </si>
  <si>
    <t>Samson Magige</t>
  </si>
  <si>
    <t>Silas Masatu</t>
  </si>
  <si>
    <t>David Werema</t>
  </si>
  <si>
    <t>Grace Andrew</t>
  </si>
  <si>
    <t>Kassim Nguvila</t>
  </si>
  <si>
    <t>Esther Mbwambo</t>
  </si>
  <si>
    <t>Samwel Nguvila</t>
  </si>
  <si>
    <t>Malugu Family</t>
  </si>
  <si>
    <t>Upendo Mtango</t>
  </si>
  <si>
    <t>Weaver Family</t>
  </si>
  <si>
    <t>Stanley Family</t>
  </si>
  <si>
    <t>Karigo Godson</t>
  </si>
  <si>
    <t>Louis Francis</t>
  </si>
  <si>
    <t>Miriam N.K</t>
  </si>
  <si>
    <t>Peace Barongo</t>
  </si>
  <si>
    <t>Allan Innocent</t>
  </si>
  <si>
    <t>Prophet Andrew</t>
  </si>
  <si>
    <t>John Kenan</t>
  </si>
  <si>
    <t>Elicia Kenan</t>
  </si>
  <si>
    <t>Emiliana Kenan</t>
  </si>
  <si>
    <t>Muhogo Robert</t>
  </si>
  <si>
    <t>MATOLEO YA 01-MARCH 2025</t>
  </si>
  <si>
    <t>1. Imani John</t>
  </si>
  <si>
    <t>2. Oscar Zabron</t>
  </si>
  <si>
    <t>1. Sophia Simon Mmbaga</t>
  </si>
  <si>
    <t>2. Dora Malale</t>
  </si>
  <si>
    <t>3. Genreose Bwire</t>
  </si>
  <si>
    <t>Marimu Mrutu</t>
  </si>
  <si>
    <t>Lucy Mtana</t>
  </si>
  <si>
    <t>Wilfred Masaka</t>
  </si>
  <si>
    <t>Rehema Renatus</t>
  </si>
  <si>
    <t>Francisca Valentine</t>
  </si>
  <si>
    <t>Mbunduki Matiko</t>
  </si>
  <si>
    <t>Kale Kiharata</t>
  </si>
  <si>
    <t>Anna Alison</t>
  </si>
  <si>
    <t>Jayden Emmanuel</t>
  </si>
  <si>
    <t>Kairo Ethan</t>
  </si>
  <si>
    <t>Mugala Maiga</t>
  </si>
  <si>
    <t>Emmanuel Peter</t>
  </si>
  <si>
    <t>Paulina Emmanuel</t>
  </si>
  <si>
    <t xml:space="preserve">Samson Richard </t>
  </si>
  <si>
    <t>Reward Leonard</t>
  </si>
  <si>
    <t>Edwin Kusaya Family</t>
  </si>
  <si>
    <t>Restuta Wiliam</t>
  </si>
  <si>
    <t>Faith Naison</t>
  </si>
  <si>
    <t>Joyce Peter</t>
  </si>
  <si>
    <t>Colletha Bwire</t>
  </si>
  <si>
    <t xml:space="preserve">Grace </t>
  </si>
  <si>
    <t>Catherine Mlekwa</t>
  </si>
  <si>
    <t>Lucia Simon</t>
  </si>
  <si>
    <t>Gweneth Honyengo</t>
  </si>
  <si>
    <t>Rose Omahe</t>
  </si>
  <si>
    <t>Derish Samwel</t>
  </si>
  <si>
    <t>Geofrey Gotora</t>
  </si>
  <si>
    <t>Martha Majemu</t>
  </si>
  <si>
    <t>Anna Josia</t>
  </si>
  <si>
    <t>Vicky Andrew</t>
  </si>
  <si>
    <t>Tabitha</t>
  </si>
  <si>
    <t>Lawi Sagati</t>
  </si>
  <si>
    <t xml:space="preserve">Emmanuel Thomas </t>
  </si>
  <si>
    <t>Neyson Simime</t>
  </si>
  <si>
    <t>Mariam Lawi</t>
  </si>
  <si>
    <t>Alamu Myaya</t>
  </si>
  <si>
    <t>Minza Daniel</t>
  </si>
  <si>
    <t>Esther Fredrick</t>
  </si>
  <si>
    <t>Adeline Mwakibiki</t>
  </si>
  <si>
    <t>Elisha Family</t>
  </si>
  <si>
    <t>Yulian Falmen</t>
  </si>
  <si>
    <t>Lydia Bizareli</t>
  </si>
  <si>
    <t>Mshiriki</t>
  </si>
  <si>
    <t>Jeremiah Amos</t>
  </si>
  <si>
    <t>Mwakipesile Family</t>
  </si>
  <si>
    <t>Makta Jackson</t>
  </si>
  <si>
    <t>Misana Bwire</t>
  </si>
  <si>
    <t xml:space="preserve">Leah </t>
  </si>
  <si>
    <t>Jesca Jaoro</t>
  </si>
  <si>
    <t>Aminiel Robson</t>
  </si>
  <si>
    <t>Stephano Bahati</t>
  </si>
  <si>
    <t>Elisa Kenan</t>
  </si>
  <si>
    <t>Dotto Masinde</t>
  </si>
  <si>
    <t>Rebecca Rwaja</t>
  </si>
  <si>
    <t>Farida Musa</t>
  </si>
  <si>
    <t>Spoza Mwanzo</t>
  </si>
  <si>
    <t>Samwel Mchome</t>
  </si>
  <si>
    <t>Dotto Emiliana</t>
  </si>
  <si>
    <t>Martha James</t>
  </si>
  <si>
    <t>Daniel Mbiling</t>
  </si>
  <si>
    <t>Jacline Kaliche</t>
  </si>
  <si>
    <t>Ibrahim Matiku</t>
  </si>
  <si>
    <t>Nafika Raphael</t>
  </si>
  <si>
    <t>Lydia Yafeth</t>
  </si>
  <si>
    <t>Roger Mwandete</t>
  </si>
  <si>
    <t>Bahati Pakil</t>
  </si>
  <si>
    <t>Anna Masele</t>
  </si>
  <si>
    <t>Emmanuel Masele</t>
  </si>
  <si>
    <t>Haroun Mapesa Family</t>
  </si>
  <si>
    <t>Mary Keluwa</t>
  </si>
  <si>
    <t>Maregesi Robert</t>
  </si>
  <si>
    <t>Thokozani Mheliwa</t>
  </si>
  <si>
    <t>Maggie Samson</t>
  </si>
  <si>
    <t xml:space="preserve">Haron Mafuru </t>
  </si>
  <si>
    <t>Esther Chacha</t>
  </si>
  <si>
    <t>Theresia Agala</t>
  </si>
  <si>
    <t>Darline Malelemba</t>
  </si>
  <si>
    <t>Samson Mrutu</t>
  </si>
  <si>
    <t>Furaha Tunguhole</t>
  </si>
  <si>
    <t>Magreth Mrutu</t>
  </si>
  <si>
    <t>Pascal Musa</t>
  </si>
  <si>
    <t>Rebecca stephano</t>
  </si>
  <si>
    <t>Robert Kerenge</t>
  </si>
  <si>
    <t>Jessica John</t>
  </si>
  <si>
    <t>Wiliam Erick</t>
  </si>
  <si>
    <t>Petro Makoye</t>
  </si>
  <si>
    <t>Eliya Magoti</t>
  </si>
  <si>
    <t>Eva and Elen</t>
  </si>
  <si>
    <t>Jenifer Gaudi</t>
  </si>
  <si>
    <t>Eunice Robert</t>
  </si>
  <si>
    <t>Lydia Daudi</t>
  </si>
  <si>
    <t>Gracius &amp; Marry</t>
  </si>
  <si>
    <t>Mwamini Karim</t>
  </si>
  <si>
    <t>Enock Daniel</t>
  </si>
  <si>
    <t>Careen</t>
  </si>
  <si>
    <t>Naki Mansary</t>
  </si>
  <si>
    <t>Eliza Ezekiel</t>
  </si>
  <si>
    <t>Aneth</t>
  </si>
  <si>
    <t>Jackson Ngasa Family</t>
  </si>
  <si>
    <t>Jonathan Joshua</t>
  </si>
  <si>
    <t>Diana Onyango</t>
  </si>
  <si>
    <t>Michael Mabida</t>
  </si>
  <si>
    <t>Gideon Emmanuel</t>
  </si>
  <si>
    <t>Joseph Joshua</t>
  </si>
  <si>
    <t>Dan Gerald</t>
  </si>
  <si>
    <t>Given Nelson</t>
  </si>
  <si>
    <t xml:space="preserve">Purity </t>
  </si>
  <si>
    <t>Rachel Robson</t>
  </si>
  <si>
    <t>Prosperia Andrew</t>
  </si>
  <si>
    <t>Faustine Pauline</t>
  </si>
  <si>
    <t>Emmanue Kisabo</t>
  </si>
  <si>
    <t>Juliana Josia</t>
  </si>
  <si>
    <t>Ong'ayo Family</t>
  </si>
  <si>
    <t>Vioneth Mgeta</t>
  </si>
  <si>
    <t>Dorka Yusuf</t>
  </si>
  <si>
    <t>Seth Eliak</t>
  </si>
  <si>
    <t>Faraja Zacharia</t>
  </si>
  <si>
    <t>Ruth Nyakutonya</t>
  </si>
  <si>
    <t>Isaya Gumada</t>
  </si>
  <si>
    <t>Daud</t>
  </si>
  <si>
    <t>Emmanuel Mwandete</t>
  </si>
  <si>
    <t>Happines Magnus</t>
  </si>
  <si>
    <t>Henry Odhiamo</t>
  </si>
  <si>
    <t>Reley Phares</t>
  </si>
  <si>
    <t>Victor Mjema Family</t>
  </si>
  <si>
    <t>Theopista Deus</t>
  </si>
  <si>
    <t>Jolie Mwika</t>
  </si>
  <si>
    <t>Nyarumase Liso</t>
  </si>
  <si>
    <t>Happy Mtokama</t>
  </si>
  <si>
    <t>Adenista Joseph</t>
  </si>
  <si>
    <t>Beatrice Haroun</t>
  </si>
  <si>
    <t>Msafiri Kivia</t>
  </si>
  <si>
    <t>Festo Baraka</t>
  </si>
  <si>
    <t>Musa Yusuph</t>
  </si>
  <si>
    <t>Frank John Family</t>
  </si>
  <si>
    <t>Naamin Yoeza</t>
  </si>
  <si>
    <t>Elizabeth Ong'ayo</t>
  </si>
  <si>
    <t xml:space="preserve">Sara Sulle </t>
  </si>
  <si>
    <t>Nancy Uze</t>
  </si>
  <si>
    <t>Flora Wantahe</t>
  </si>
  <si>
    <t>Cayden Stephen</t>
  </si>
  <si>
    <t>Morija Makasi</t>
  </si>
  <si>
    <t>Henrry Hosea</t>
  </si>
  <si>
    <t>Amosi</t>
  </si>
  <si>
    <t>Priscila Ikyela</t>
  </si>
  <si>
    <t>Eunice Ong'ayo</t>
  </si>
  <si>
    <t>Amida Gerald</t>
  </si>
  <si>
    <t>Catherine Costantine</t>
  </si>
  <si>
    <t>Ayubu Mbonea</t>
  </si>
  <si>
    <t>Meshack Ongati</t>
  </si>
  <si>
    <t>David Gilbert</t>
  </si>
  <si>
    <t>PATRICIA Suleiman</t>
  </si>
  <si>
    <t>Melckzedeck Kilangwa</t>
  </si>
  <si>
    <t>Tito Samson Samson</t>
  </si>
  <si>
    <t>Abigail Barongo</t>
  </si>
  <si>
    <t>Godfrey Mwombeki</t>
  </si>
  <si>
    <t>Jonathan Amos</t>
  </si>
  <si>
    <t xml:space="preserve">Janet </t>
  </si>
  <si>
    <t>Meria Majogoro</t>
  </si>
  <si>
    <t>Dorothy Kazige</t>
  </si>
  <si>
    <t>Vedastus Masige</t>
  </si>
  <si>
    <t>Thomas Bwire</t>
  </si>
  <si>
    <t>Debora Chacha</t>
  </si>
  <si>
    <t>Maurine Makasi</t>
  </si>
  <si>
    <t>Nathan Ndimbwa</t>
  </si>
  <si>
    <t>Brighton Gonda</t>
  </si>
  <si>
    <t>Grace Daudi</t>
  </si>
  <si>
    <t>Sami Buluba</t>
  </si>
  <si>
    <t>Giovana Nelson</t>
  </si>
  <si>
    <t>Neevan Collins</t>
  </si>
  <si>
    <t>Prophecy Andrew</t>
  </si>
  <si>
    <t>Lois Edger</t>
  </si>
  <si>
    <t>Liam Edger</t>
  </si>
  <si>
    <t>Bahati</t>
  </si>
  <si>
    <t>Shawn Shadrack</t>
  </si>
  <si>
    <t>Lucas Masamba</t>
  </si>
  <si>
    <t>Kennedy Abula</t>
  </si>
  <si>
    <t>Anthony Togolan</t>
  </si>
  <si>
    <t>Sospeter Ogogo</t>
  </si>
  <si>
    <t>Baraka Nyakutonya</t>
  </si>
  <si>
    <t>Fortunatus Enock</t>
  </si>
  <si>
    <t>Jenifer</t>
  </si>
  <si>
    <t xml:space="preserve">Samwel </t>
  </si>
  <si>
    <t>Gwilona Enock</t>
  </si>
  <si>
    <t>Mbuke Emmanuel</t>
  </si>
  <si>
    <t>Vivian Victor</t>
  </si>
  <si>
    <t>Joyln Zacharia</t>
  </si>
  <si>
    <t>Vaieth Adam</t>
  </si>
  <si>
    <t>Janeth Emmanuel</t>
  </si>
  <si>
    <t>Denis Deus</t>
  </si>
  <si>
    <t>Malaika Ntobela</t>
  </si>
  <si>
    <t>Reuben Malimo</t>
  </si>
  <si>
    <t>Malakai Ntobela</t>
  </si>
  <si>
    <t>Sekione John</t>
  </si>
  <si>
    <t>Jack Denis</t>
  </si>
  <si>
    <t>Modricai Ntobela</t>
  </si>
  <si>
    <t>Modekai Ntobela</t>
  </si>
  <si>
    <t>Jayson Zacharia</t>
  </si>
  <si>
    <t>DANNY MALOBA</t>
  </si>
  <si>
    <t>Mshiriki alitoa kimakosa 800,000, aliomba kurejeshewa 720000 kwa maandishi ambayo ilidhinishwa na kurudishwa.</t>
  </si>
  <si>
    <t>MATOLEO YA 08-MARCH 2025</t>
  </si>
  <si>
    <t>TAREHE</t>
  </si>
  <si>
    <t>SAHIHI</t>
  </si>
  <si>
    <t>MARIO KITUI</t>
  </si>
  <si>
    <t>SHADRACK MSYANGI</t>
  </si>
  <si>
    <t>ESTHER FREDRICK</t>
  </si>
  <si>
    <t>SADAKA YA KAMBI</t>
  </si>
  <si>
    <t xml:space="preserve">SEVENTH DAY ADVENTIST CHURCH </t>
  </si>
  <si>
    <t>JIMBO LA KUSINI MASHARIKI MWA TANZANIA</t>
  </si>
  <si>
    <t>KANISA LA KIBADA</t>
  </si>
  <si>
    <t xml:space="preserve">TAARIFA YA MWEZI JANUARY 2025 </t>
  </si>
  <si>
    <t>18/1/2025</t>
  </si>
  <si>
    <t>25/01/2025</t>
  </si>
  <si>
    <t xml:space="preserve">ZAKA </t>
  </si>
  <si>
    <t>SADAKA 58%</t>
  </si>
  <si>
    <t>SS/13</t>
  </si>
  <si>
    <t>JUMLA A</t>
  </si>
  <si>
    <t>SADAKA 42%</t>
  </si>
  <si>
    <t>JUMLA B</t>
  </si>
  <si>
    <t>JUMLA A&amp;B</t>
  </si>
  <si>
    <t>MCHUNGAJI WA MTAA: PR LAMECK MAIGA</t>
  </si>
  <si>
    <t>MZEE WA KANISA…....................................................</t>
  </si>
  <si>
    <t>MHAZINI WA KANISA: MARIO KITUI</t>
  </si>
  <si>
    <r>
      <rPr>
        <b/>
        <sz val="12"/>
        <color theme="1"/>
        <rFont val="Calibri"/>
      </rPr>
      <t>A:</t>
    </r>
    <r>
      <rPr>
        <sz val="12"/>
        <color theme="1"/>
        <rFont val="Calibri"/>
      </rPr>
      <t xml:space="preserve"> ZAKA NA SADAKA ZILIZOKWENDA CONFERENCE</t>
    </r>
  </si>
  <si>
    <r>
      <rPr>
        <b/>
        <sz val="12"/>
        <color theme="1"/>
        <rFont val="Calibri"/>
      </rPr>
      <t>A:</t>
    </r>
    <r>
      <rPr>
        <sz val="12"/>
        <color theme="1"/>
        <rFont val="Calibri"/>
      </rPr>
      <t xml:space="preserve"> ZAKA NA SADAKA ZILIZOKWENDA CONFERENCE</t>
    </r>
  </si>
  <si>
    <r>
      <rPr>
        <b/>
        <sz val="12"/>
        <color theme="1"/>
        <rFont val="Calibri"/>
      </rPr>
      <t>B:</t>
    </r>
    <r>
      <rPr>
        <sz val="12"/>
        <color theme="1"/>
        <rFont val="Calibri"/>
      </rPr>
      <t xml:space="preserve"> SADAKA ZILIZOBAKI KANISANI</t>
    </r>
  </si>
  <si>
    <t>18/01/2025</t>
  </si>
  <si>
    <r>
      <rPr>
        <b/>
        <sz val="12"/>
        <color theme="1"/>
        <rFont val="Calibri"/>
      </rPr>
      <t>B:</t>
    </r>
    <r>
      <rPr>
        <sz val="12"/>
        <color theme="1"/>
        <rFont val="Calibri"/>
      </rPr>
      <t xml:space="preserve"> SADAKA ZILIZOBAKI KANISANI</t>
    </r>
  </si>
  <si>
    <t>Second-48586430</t>
  </si>
  <si>
    <t>First- 43897650</t>
  </si>
  <si>
    <t xml:space="preserve">.sc </t>
  </si>
  <si>
    <t>MARIAM</t>
  </si>
  <si>
    <r>
      <rPr>
        <b/>
        <sz val="12"/>
        <color theme="1"/>
        <rFont val="Calibri"/>
      </rPr>
      <t>A:</t>
    </r>
    <r>
      <rPr>
        <sz val="12"/>
        <color theme="1"/>
        <rFont val="Calibri"/>
      </rPr>
      <t xml:space="preserve"> ZAKA NA SADAKA ZILIZOKWENDA CONFERENCE</t>
    </r>
  </si>
  <si>
    <r>
      <rPr>
        <b/>
        <sz val="12"/>
        <color theme="1"/>
        <rFont val="Calibri"/>
      </rPr>
      <t>A:</t>
    </r>
    <r>
      <rPr>
        <sz val="12"/>
        <color theme="1"/>
        <rFont val="Calibri"/>
      </rPr>
      <t xml:space="preserve"> ZAKA NA SADAKA ZILIZOKWENDA CONFERENCE</t>
    </r>
  </si>
  <si>
    <r>
      <rPr>
        <b/>
        <sz val="12"/>
        <color theme="1"/>
        <rFont val="Calibri"/>
      </rPr>
      <t>B:</t>
    </r>
    <r>
      <rPr>
        <sz val="12"/>
        <color theme="1"/>
        <rFont val="Calibri"/>
      </rPr>
      <t xml:space="preserve"> SADAKA ZILIZOBAKI KANISANI</t>
    </r>
  </si>
  <si>
    <r>
      <rPr>
        <b/>
        <sz val="12"/>
        <color theme="1"/>
        <rFont val="Calibri"/>
      </rPr>
      <t>B:</t>
    </r>
    <r>
      <rPr>
        <sz val="12"/>
        <color theme="1"/>
        <rFont val="Calibri"/>
      </rPr>
      <t xml:space="preserve"> SADAKA ZILIZOBAKI KANISANI</t>
    </r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</si>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</sst>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_(* #,##0_);_(* \(#,##0\);_(* &quot;-&quot;??_);_(@_)"/>
    <numFmt numFmtId="166" formatCode="_-* #,##0.00_-;\-* #,##0.00_-;_-* &quot;-&quot;??_-;_-@"/>
    <numFmt numFmtId="167" formatCode="mm/dd/yy"/>
  </numFmts>
  <fonts count="12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rgb="FFFF0000"/>
      <name val="Calibri"/>
    </font>
    <font>
      <sz val="11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1"/>
      <color theme="1"/>
      <name val="Arial"/>
    </font>
    <font>
      <sz val="11"/>
      <name val="Calibri"/>
    </font>
    <font>
      <b/>
      <sz val="12"/>
      <color rgb="FFFF0000"/>
      <name val="Calibri"/>
    </font>
    <font>
      <i/>
      <sz val="12"/>
      <color rgb="FF000000"/>
      <name val="Calibri"/>
    </font>
    <font>
      <b/>
      <sz val="12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165" fontId="1" fillId="0" borderId="2" xfId="0" applyNumberFormat="1" applyFont="1" applyBorder="1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164" fontId="2" fillId="0" borderId="1" xfId="0" applyNumberFormat="1" applyFont="1" applyBorder="1"/>
    <xf numFmtId="165" fontId="2" fillId="0" borderId="2" xfId="0" applyNumberFormat="1" applyFont="1" applyBorder="1"/>
    <xf numFmtId="164" fontId="2" fillId="0" borderId="0" xfId="0" applyNumberFormat="1" applyFont="1"/>
    <xf numFmtId="164" fontId="2" fillId="0" borderId="3" xfId="0" applyNumberFormat="1" applyFont="1" applyBorder="1"/>
    <xf numFmtId="0" fontId="2" fillId="2" borderId="2" xfId="0" applyFont="1" applyFill="1" applyBorder="1"/>
    <xf numFmtId="164" fontId="2" fillId="2" borderId="2" xfId="0" applyNumberFormat="1" applyFont="1" applyFill="1" applyBorder="1"/>
    <xf numFmtId="165" fontId="2" fillId="2" borderId="2" xfId="0" applyNumberFormat="1" applyFont="1" applyFill="1" applyBorder="1"/>
    <xf numFmtId="0" fontId="2" fillId="2" borderId="4" xfId="0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164" fontId="2" fillId="0" borderId="5" xfId="0" applyNumberFormat="1" applyFont="1" applyBorder="1"/>
    <xf numFmtId="0" fontId="2" fillId="5" borderId="2" xfId="0" applyFont="1" applyFill="1" applyBorder="1"/>
    <xf numFmtId="164" fontId="2" fillId="5" borderId="2" xfId="0" applyNumberFormat="1" applyFont="1" applyFill="1" applyBorder="1"/>
    <xf numFmtId="164" fontId="2" fillId="5" borderId="6" xfId="0" applyNumberFormat="1" applyFont="1" applyFill="1" applyBorder="1"/>
    <xf numFmtId="164" fontId="2" fillId="5" borderId="7" xfId="0" applyNumberFormat="1" applyFont="1" applyFill="1" applyBorder="1"/>
    <xf numFmtId="165" fontId="2" fillId="5" borderId="2" xfId="0" applyNumberFormat="1" applyFont="1" applyFill="1" applyBorder="1"/>
    <xf numFmtId="0" fontId="2" fillId="5" borderId="4" xfId="0" applyFont="1" applyFill="1" applyBorder="1"/>
    <xf numFmtId="0" fontId="1" fillId="3" borderId="2" xfId="0" applyFont="1" applyFill="1" applyBorder="1"/>
    <xf numFmtId="164" fontId="1" fillId="3" borderId="2" xfId="0" applyNumberFormat="1" applyFont="1" applyFill="1" applyBorder="1"/>
    <xf numFmtId="165" fontId="2" fillId="0" borderId="0" xfId="0" applyNumberFormat="1" applyFont="1"/>
    <xf numFmtId="165" fontId="1" fillId="0" borderId="0" xfId="0" applyNumberFormat="1" applyFont="1"/>
    <xf numFmtId="164" fontId="1" fillId="0" borderId="0" xfId="0" applyNumberFormat="1" applyFont="1"/>
    <xf numFmtId="165" fontId="1" fillId="0" borderId="8" xfId="0" applyNumberFormat="1" applyFont="1" applyBorder="1"/>
    <xf numFmtId="164" fontId="1" fillId="0" borderId="5" xfId="0" applyNumberFormat="1" applyFont="1" applyBorder="1"/>
    <xf numFmtId="165" fontId="3" fillId="0" borderId="0" xfId="0" applyNumberFormat="1" applyFont="1"/>
    <xf numFmtId="0" fontId="3" fillId="0" borderId="0" xfId="0" applyFont="1"/>
    <xf numFmtId="0" fontId="2" fillId="3" borderId="4" xfId="0" applyFont="1" applyFill="1" applyBorder="1"/>
    <xf numFmtId="0" fontId="4" fillId="0" borderId="0" xfId="0" applyFont="1"/>
    <xf numFmtId="165" fontId="5" fillId="0" borderId="14" xfId="0" applyNumberFormat="1" applyFont="1" applyBorder="1"/>
    <xf numFmtId="165" fontId="5" fillId="0" borderId="15" xfId="0" applyNumberFormat="1" applyFont="1" applyBorder="1"/>
    <xf numFmtId="165" fontId="5" fillId="0" borderId="16" xfId="0" applyNumberFormat="1" applyFont="1" applyBorder="1"/>
    <xf numFmtId="165" fontId="6" fillId="0" borderId="9" xfId="0" applyNumberFormat="1" applyFont="1" applyBorder="1"/>
    <xf numFmtId="165" fontId="6" fillId="0" borderId="2" xfId="0" applyNumberFormat="1" applyFont="1" applyBorder="1"/>
    <xf numFmtId="165" fontId="6" fillId="0" borderId="10" xfId="0" applyNumberFormat="1" applyFont="1" applyBorder="1"/>
    <xf numFmtId="165" fontId="7" fillId="0" borderId="9" xfId="0" applyNumberFormat="1" applyFont="1" applyBorder="1"/>
    <xf numFmtId="165" fontId="7" fillId="0" borderId="2" xfId="0" applyNumberFormat="1" applyFont="1" applyBorder="1"/>
    <xf numFmtId="165" fontId="7" fillId="0" borderId="10" xfId="0" applyNumberFormat="1" applyFont="1" applyBorder="1"/>
    <xf numFmtId="165" fontId="4" fillId="0" borderId="9" xfId="0" applyNumberFormat="1" applyFont="1" applyBorder="1"/>
    <xf numFmtId="165" fontId="4" fillId="0" borderId="2" xfId="0" applyNumberFormat="1" applyFont="1" applyBorder="1"/>
    <xf numFmtId="165" fontId="4" fillId="0" borderId="10" xfId="0" applyNumberFormat="1" applyFont="1" applyBorder="1"/>
    <xf numFmtId="165" fontId="7" fillId="0" borderId="11" xfId="0" applyNumberFormat="1" applyFont="1" applyBorder="1"/>
    <xf numFmtId="165" fontId="7" fillId="0" borderId="12" xfId="0" applyNumberFormat="1" applyFont="1" applyBorder="1"/>
    <xf numFmtId="165" fontId="7" fillId="0" borderId="13" xfId="0" applyNumberFormat="1" applyFont="1" applyBorder="1"/>
    <xf numFmtId="166" fontId="1" fillId="0" borderId="0" xfId="0" applyNumberFormat="1" applyFont="1"/>
    <xf numFmtId="166" fontId="2" fillId="0" borderId="0" xfId="0" applyNumberFormat="1" applyFont="1"/>
    <xf numFmtId="0" fontId="2" fillId="6" borderId="2" xfId="0" applyFont="1" applyFill="1" applyBorder="1"/>
    <xf numFmtId="167" fontId="1" fillId="6" borderId="2" xfId="0" applyNumberFormat="1" applyFont="1" applyFill="1" applyBorder="1" applyAlignment="1">
      <alignment horizontal="right"/>
    </xf>
    <xf numFmtId="167" fontId="1" fillId="0" borderId="2" xfId="0" applyNumberFormat="1" applyFont="1" applyBorder="1" applyAlignment="1">
      <alignment horizontal="right"/>
    </xf>
    <xf numFmtId="0" fontId="1" fillId="6" borderId="2" xfId="0" applyFont="1" applyFill="1" applyBorder="1" applyAlignment="1">
      <alignment horizontal="right"/>
    </xf>
    <xf numFmtId="167" fontId="1" fillId="0" borderId="0" xfId="0" applyNumberFormat="1" applyFont="1"/>
    <xf numFmtId="164" fontId="2" fillId="0" borderId="2" xfId="0" applyNumberFormat="1" applyFont="1" applyBorder="1" applyAlignment="1">
      <alignment horizontal="center"/>
    </xf>
    <xf numFmtId="166" fontId="1" fillId="7" borderId="2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6" borderId="2" xfId="0" applyFont="1" applyFill="1" applyBorder="1"/>
    <xf numFmtId="166" fontId="1" fillId="6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8" borderId="4" xfId="0" applyFont="1" applyFill="1" applyBorder="1"/>
    <xf numFmtId="167" fontId="1" fillId="6" borderId="2" xfId="0" applyNumberFormat="1" applyFont="1" applyFill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166" fontId="1" fillId="4" borderId="2" xfId="0" applyNumberFormat="1" applyFont="1" applyFill="1" applyBorder="1" applyAlignment="1">
      <alignment horizontal="center"/>
    </xf>
    <xf numFmtId="164" fontId="3" fillId="0" borderId="0" xfId="0" applyNumberFormat="1" applyFont="1"/>
    <xf numFmtId="166" fontId="3" fillId="0" borderId="0" xfId="0" applyNumberFormat="1" applyFont="1"/>
    <xf numFmtId="0" fontId="1" fillId="2" borderId="4" xfId="0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165" fontId="4" fillId="0" borderId="5" xfId="0" applyNumberFormat="1" applyFont="1" applyBorder="1" applyAlignment="1">
      <alignment horizontal="center"/>
    </xf>
    <xf numFmtId="0" fontId="8" fillId="0" borderId="17" xfId="0" applyFont="1" applyBorder="1"/>
    <xf numFmtId="0" fontId="8" fillId="0" borderId="18" xfId="0" applyFont="1" applyBorder="1"/>
  </cellXfs>
  <cellStyles count="1">
    <cellStyle name="Normal" xfId="0" builtinId="0"/>
  </cellStyles>
  <dxfs count="4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5">
    <tableStyle name="24-MAY 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31-MAY 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07-JUNE-style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16-JUNE-style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18-JUNE-style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19-JUNE-style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20-JUNE-style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21-JUNE-style" pivot="0" count="2" xr9:uid="{00000000-0011-0000-FFFF-FFFF07000000}">
      <tableStyleElement type="firstRowStripe" dxfId="20"/>
      <tableStyleElement type="secondRowStripe" dxfId="19"/>
    </tableStyle>
    <tableStyle name="28-JUNE-style" pivot="0" count="2" xr9:uid="{00000000-0011-0000-FFFF-FFFF08000000}">
      <tableStyleElement type="firstRowStripe" dxfId="18"/>
      <tableStyleElement type="secondRowStripe" dxfId="17"/>
    </tableStyle>
    <tableStyle name="05-JULY-style" pivot="0" count="3" xr9:uid="{00000000-0011-0000-FFFF-FFFF09000000}">
      <tableStyleElement type="headerRow" dxfId="16"/>
      <tableStyleElement type="firstRowStripe" dxfId="15"/>
      <tableStyleElement type="secondRowStripe" dxfId="14"/>
    </tableStyle>
    <tableStyle name="12-JULY-style" pivot="0" count="3" xr9:uid="{00000000-0011-0000-FFFF-FFFF0A000000}">
      <tableStyleElement type="headerRow" dxfId="13"/>
      <tableStyleElement type="firstRowStripe" dxfId="12"/>
      <tableStyleElement type="secondRowStripe" dxfId="11"/>
    </tableStyle>
    <tableStyle name="19-JULY-style" pivot="0" count="3" xr9:uid="{00000000-0011-0000-FFFF-FFFF0B000000}">
      <tableStyleElement type="headerRow" dxfId="10"/>
      <tableStyleElement type="firstRowStripe" dxfId="9"/>
      <tableStyleElement type="secondRowStripe" dxfId="8"/>
    </tableStyle>
    <tableStyle name="26-JULY-style" pivot="0" count="2" xr9:uid="{00000000-0011-0000-FFFF-FFFF0C000000}">
      <tableStyleElement type="firstRowStripe" dxfId="7"/>
      <tableStyleElement type="secondRowStripe" dxfId="6"/>
    </tableStyle>
    <tableStyle name="02-AUGUST-style" pivot="0" count="3" xr9:uid="{00000000-0011-0000-FFFF-FFFF0D000000}">
      <tableStyleElement type="headerRow" dxfId="5"/>
      <tableStyleElement type="firstRowStripe" dxfId="4"/>
      <tableStyleElement type="secondRowStripe" dxfId="3"/>
    </tableStyle>
    <tableStyle name="09-AUGUST-style" pivot="0" count="3" xr9:uid="{00000000-0011-0000-FFFF-FFFF0E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63" Type="http://schemas.openxmlformats.org/officeDocument/2006/relationships/styles" Target="styles.xml"/><Relationship Id="rId2" Type="http://schemas.openxmlformats.org/officeDocument/2006/relationships/worksheet" Target="worksheets/sheet2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1" Type="http://customschemas.google.com/relationships/workbookmetadata" Target="metadata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6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8"/>
  <sheetViews>
    <sheetView tabSelected="1" workbookViewId="0">
      <pane xSplit="4" ySplit="1" topLeftCell="J203" activePane="bottomRight" state="frozen"/>
      <selection pane="topRight" activeCell="E1" sqref="E1"/>
      <selection pane="bottomLeft" activeCell="A2" sqref="A2"/>
      <selection pane="bottomRight" activeCell="A223" sqref="A223"/>
    </sheetView>
  </sheetViews>
  <sheetFormatPr defaultColWidth="14.47265625" defaultRowHeight="15" customHeight="1"/>
  <cols>
    <col min="1" max="1" width="5.26171875" customWidth="1"/>
    <col min="2" max="2" width="26.5234375" customWidth="1"/>
    <col min="3" max="3" width="19.5234375" customWidth="1"/>
    <col min="4" max="4" width="14.5234375" customWidth="1"/>
    <col min="5" max="5" width="15.734375" customWidth="1"/>
    <col min="6" max="6" width="16.47265625" customWidth="1"/>
    <col min="7" max="7" width="14.1015625" customWidth="1"/>
    <col min="8" max="8" width="12.47265625" customWidth="1"/>
    <col min="9" max="9" width="17.7890625" customWidth="1"/>
    <col min="10" max="10" width="15.734375" customWidth="1"/>
    <col min="11" max="11" width="17" customWidth="1"/>
    <col min="12" max="12" width="18.5234375" customWidth="1"/>
    <col min="13" max="13" width="15.734375" customWidth="1"/>
    <col min="14" max="14" width="10.734375" customWidth="1"/>
    <col min="15" max="15" width="7.5234375" customWidth="1"/>
    <col min="16" max="16" width="16.7890625" customWidth="1"/>
    <col min="17" max="17" width="13.734375" customWidth="1"/>
    <col min="18" max="29" width="9.1015625" customWidth="1"/>
  </cols>
  <sheetData>
    <row r="1" spans="1:29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530</v>
      </c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>
      <c r="A2" s="7">
        <v>1</v>
      </c>
      <c r="B2" s="7" t="s">
        <v>13</v>
      </c>
      <c r="C2" s="8">
        <v>400000</v>
      </c>
      <c r="D2" s="8"/>
      <c r="E2" s="8"/>
      <c r="F2" s="8"/>
      <c r="G2" s="8"/>
      <c r="H2" s="9"/>
      <c r="I2" s="9"/>
      <c r="J2" s="9"/>
      <c r="K2" s="9"/>
      <c r="L2" s="9"/>
      <c r="M2" s="9">
        <f t="shared" ref="M2:M214" si="0">SUM(C2:L2)</f>
        <v>400000</v>
      </c>
      <c r="N2" s="10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15.75" customHeight="1">
      <c r="A3" s="7">
        <v>2</v>
      </c>
      <c r="B3" s="7" t="s">
        <v>14</v>
      </c>
      <c r="C3" s="11">
        <v>30000</v>
      </c>
      <c r="D3" s="8">
        <v>3000</v>
      </c>
      <c r="E3" s="8"/>
      <c r="F3" s="8"/>
      <c r="G3" s="8"/>
      <c r="H3" s="8"/>
      <c r="I3" s="8"/>
      <c r="J3" s="8"/>
      <c r="K3" s="8"/>
      <c r="L3" s="8"/>
      <c r="M3" s="9">
        <f t="shared" si="0"/>
        <v>33000</v>
      </c>
      <c r="N3" s="10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5.75" customHeight="1">
      <c r="A4" s="7">
        <v>3</v>
      </c>
      <c r="B4" s="7" t="s">
        <v>15</v>
      </c>
      <c r="C4" s="8"/>
      <c r="D4" s="8">
        <v>1000</v>
      </c>
      <c r="E4" s="8"/>
      <c r="F4" s="8"/>
      <c r="G4" s="8"/>
      <c r="H4" s="8"/>
      <c r="I4" s="8"/>
      <c r="J4" s="8"/>
      <c r="K4" s="8"/>
      <c r="L4" s="8"/>
      <c r="M4" s="9">
        <f t="shared" si="0"/>
        <v>1000</v>
      </c>
      <c r="N4" s="10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.75" customHeight="1">
      <c r="A5" s="7">
        <v>4</v>
      </c>
      <c r="B5" s="7" t="s">
        <v>16</v>
      </c>
      <c r="C5" s="8"/>
      <c r="D5" s="8">
        <v>1000</v>
      </c>
      <c r="E5" s="8"/>
      <c r="F5" s="8"/>
      <c r="G5" s="8"/>
      <c r="H5" s="8"/>
      <c r="I5" s="8"/>
      <c r="J5" s="8"/>
      <c r="K5" s="8"/>
      <c r="L5" s="8"/>
      <c r="M5" s="9">
        <f t="shared" si="0"/>
        <v>1000</v>
      </c>
      <c r="N5" s="1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5.75" customHeight="1">
      <c r="A6" s="7">
        <v>5</v>
      </c>
      <c r="B6" s="7" t="s">
        <v>17</v>
      </c>
      <c r="C6" s="8">
        <v>13600</v>
      </c>
      <c r="D6" s="8">
        <v>1400</v>
      </c>
      <c r="E6" s="8"/>
      <c r="F6" s="8"/>
      <c r="G6" s="8"/>
      <c r="H6" s="8"/>
      <c r="I6" s="8"/>
      <c r="J6" s="8"/>
      <c r="K6" s="8"/>
      <c r="L6" s="8"/>
      <c r="M6" s="9">
        <f t="shared" si="0"/>
        <v>15000</v>
      </c>
      <c r="N6" s="10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.75" customHeight="1">
      <c r="A7" s="7">
        <v>6</v>
      </c>
      <c r="B7" s="7" t="s">
        <v>18</v>
      </c>
      <c r="C7" s="8">
        <v>4000</v>
      </c>
      <c r="D7" s="8">
        <v>4000</v>
      </c>
      <c r="E7" s="8"/>
      <c r="F7" s="8"/>
      <c r="G7" s="8"/>
      <c r="H7" s="8"/>
      <c r="I7" s="8"/>
      <c r="J7" s="8"/>
      <c r="K7" s="8"/>
      <c r="L7" s="8"/>
      <c r="M7" s="9">
        <f t="shared" si="0"/>
        <v>8000</v>
      </c>
      <c r="N7" s="1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5.75" customHeight="1">
      <c r="A8" s="7">
        <v>7</v>
      </c>
      <c r="B8" s="7" t="s">
        <v>19</v>
      </c>
      <c r="C8" s="8"/>
      <c r="D8" s="8">
        <v>1000</v>
      </c>
      <c r="E8" s="8"/>
      <c r="F8" s="8"/>
      <c r="G8" s="8"/>
      <c r="H8" s="8"/>
      <c r="I8" s="8"/>
      <c r="J8" s="8"/>
      <c r="K8" s="8"/>
      <c r="L8" s="8"/>
      <c r="M8" s="9">
        <f t="shared" si="0"/>
        <v>1000</v>
      </c>
      <c r="N8" s="10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5.75" customHeight="1">
      <c r="A9" s="7">
        <v>8</v>
      </c>
      <c r="B9" s="7" t="s">
        <v>20</v>
      </c>
      <c r="C9" s="8">
        <v>5000</v>
      </c>
      <c r="D9" s="8">
        <v>5000</v>
      </c>
      <c r="E9" s="8"/>
      <c r="F9" s="8"/>
      <c r="G9" s="8"/>
      <c r="H9" s="8"/>
      <c r="I9" s="8"/>
      <c r="J9" s="8"/>
      <c r="K9" s="8"/>
      <c r="L9" s="8"/>
      <c r="M9" s="9">
        <f t="shared" si="0"/>
        <v>10000</v>
      </c>
      <c r="N9" s="10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5.75" customHeight="1">
      <c r="A10" s="7">
        <v>9</v>
      </c>
      <c r="B10" s="8" t="s">
        <v>21</v>
      </c>
      <c r="C10" s="8"/>
      <c r="D10" s="12"/>
      <c r="E10" s="8"/>
      <c r="F10" s="8">
        <v>30000</v>
      </c>
      <c r="G10" s="8"/>
      <c r="H10" s="8"/>
      <c r="I10" s="8"/>
      <c r="J10" s="8"/>
      <c r="K10" s="8"/>
      <c r="L10" s="8"/>
      <c r="M10" s="9">
        <f t="shared" si="0"/>
        <v>30000</v>
      </c>
      <c r="N10" s="1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5.75" customHeight="1">
      <c r="A11" s="7">
        <v>10</v>
      </c>
      <c r="B11" s="7" t="s">
        <v>22</v>
      </c>
      <c r="C11" s="8">
        <v>10000</v>
      </c>
      <c r="D11" s="8">
        <v>1000</v>
      </c>
      <c r="E11" s="8"/>
      <c r="F11" s="8"/>
      <c r="G11" s="8"/>
      <c r="H11" s="8"/>
      <c r="I11" s="8"/>
      <c r="J11" s="8"/>
      <c r="K11" s="8"/>
      <c r="L11" s="8"/>
      <c r="M11" s="9">
        <f t="shared" si="0"/>
        <v>11000</v>
      </c>
      <c r="N11" s="1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.75" customHeight="1">
      <c r="A12" s="7">
        <v>11</v>
      </c>
      <c r="B12" s="7" t="s">
        <v>23</v>
      </c>
      <c r="C12" s="8">
        <v>10000</v>
      </c>
      <c r="D12" s="8">
        <v>10000</v>
      </c>
      <c r="E12" s="8"/>
      <c r="F12" s="8"/>
      <c r="G12" s="8"/>
      <c r="H12" s="8"/>
      <c r="I12" s="8"/>
      <c r="J12" s="8"/>
      <c r="K12" s="8"/>
      <c r="L12" s="8"/>
      <c r="M12" s="9">
        <f t="shared" si="0"/>
        <v>20000</v>
      </c>
      <c r="N12" s="10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5.75" customHeight="1">
      <c r="A13" s="7">
        <v>12</v>
      </c>
      <c r="B13" s="7" t="s">
        <v>24</v>
      </c>
      <c r="C13" s="8">
        <v>1000</v>
      </c>
      <c r="D13" s="8"/>
      <c r="E13" s="8"/>
      <c r="F13" s="8">
        <v>5000</v>
      </c>
      <c r="G13" s="8"/>
      <c r="H13" s="8"/>
      <c r="I13" s="8"/>
      <c r="J13" s="8"/>
      <c r="K13" s="8"/>
      <c r="L13" s="8"/>
      <c r="M13" s="9">
        <f t="shared" si="0"/>
        <v>6000</v>
      </c>
      <c r="N13" s="10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5.75" customHeight="1">
      <c r="A14" s="7">
        <v>13</v>
      </c>
      <c r="B14" s="7" t="s">
        <v>25</v>
      </c>
      <c r="C14" s="8"/>
      <c r="D14" s="8">
        <v>1000</v>
      </c>
      <c r="E14" s="8"/>
      <c r="F14" s="8"/>
      <c r="G14" s="8"/>
      <c r="H14" s="8"/>
      <c r="I14" s="8"/>
      <c r="J14" s="8"/>
      <c r="K14" s="8"/>
      <c r="L14" s="8"/>
      <c r="M14" s="9">
        <f t="shared" si="0"/>
        <v>1000</v>
      </c>
      <c r="N14" s="10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5.75" customHeight="1">
      <c r="A15" s="7">
        <v>14</v>
      </c>
      <c r="B15" s="7" t="s">
        <v>26</v>
      </c>
      <c r="C15" s="8"/>
      <c r="D15" s="8">
        <v>2000</v>
      </c>
      <c r="E15" s="8"/>
      <c r="F15" s="8"/>
      <c r="G15" s="8"/>
      <c r="H15" s="8"/>
      <c r="I15" s="8"/>
      <c r="J15" s="8"/>
      <c r="K15" s="8"/>
      <c r="L15" s="8"/>
      <c r="M15" s="9">
        <f t="shared" si="0"/>
        <v>2000</v>
      </c>
      <c r="N15" s="10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5.75" customHeight="1">
      <c r="A16" s="7">
        <v>15</v>
      </c>
      <c r="B16" s="7" t="s">
        <v>27</v>
      </c>
      <c r="C16" s="8"/>
      <c r="D16" s="8">
        <v>5000</v>
      </c>
      <c r="E16" s="8"/>
      <c r="F16" s="8"/>
      <c r="G16" s="8"/>
      <c r="H16" s="8"/>
      <c r="I16" s="8"/>
      <c r="J16" s="8"/>
      <c r="K16" s="8"/>
      <c r="L16" s="8"/>
      <c r="M16" s="9">
        <f t="shared" si="0"/>
        <v>5000</v>
      </c>
      <c r="N16" s="10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5.75" customHeight="1">
      <c r="A17" s="7">
        <v>16</v>
      </c>
      <c r="B17" s="7" t="s">
        <v>28</v>
      </c>
      <c r="C17" s="8">
        <v>10000</v>
      </c>
      <c r="D17" s="8">
        <v>2000</v>
      </c>
      <c r="E17" s="8"/>
      <c r="F17" s="8"/>
      <c r="G17" s="8"/>
      <c r="H17" s="8"/>
      <c r="I17" s="8"/>
      <c r="J17" s="8"/>
      <c r="K17" s="8"/>
      <c r="L17" s="8"/>
      <c r="M17" s="9">
        <f t="shared" si="0"/>
        <v>12000</v>
      </c>
      <c r="N17" s="10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15.75" customHeight="1">
      <c r="A18" s="7">
        <v>17</v>
      </c>
      <c r="B18" s="7" t="s">
        <v>29</v>
      </c>
      <c r="C18" s="8"/>
      <c r="D18" s="8">
        <v>2000</v>
      </c>
      <c r="E18" s="8"/>
      <c r="F18" s="8"/>
      <c r="G18" s="8"/>
      <c r="H18" s="8"/>
      <c r="I18" s="8"/>
      <c r="J18" s="8"/>
      <c r="K18" s="8"/>
      <c r="L18" s="8"/>
      <c r="M18" s="9">
        <f t="shared" si="0"/>
        <v>2000</v>
      </c>
      <c r="N18" s="10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15.75" customHeight="1">
      <c r="A19" s="7">
        <v>18</v>
      </c>
      <c r="B19" s="7" t="s">
        <v>30</v>
      </c>
      <c r="C19" s="8">
        <v>1000</v>
      </c>
      <c r="D19" s="8">
        <v>1000</v>
      </c>
      <c r="E19" s="8"/>
      <c r="F19" s="8"/>
      <c r="G19" s="8"/>
      <c r="H19" s="8"/>
      <c r="I19" s="8"/>
      <c r="J19" s="8"/>
      <c r="K19" s="8"/>
      <c r="L19" s="8"/>
      <c r="M19" s="9">
        <f t="shared" si="0"/>
        <v>2000</v>
      </c>
      <c r="N19" s="10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15.75" customHeight="1">
      <c r="A20" s="7">
        <v>19</v>
      </c>
      <c r="B20" s="7" t="s">
        <v>31</v>
      </c>
      <c r="C20" s="8"/>
      <c r="D20" s="8">
        <v>1000</v>
      </c>
      <c r="E20" s="8"/>
      <c r="F20" s="8"/>
      <c r="G20" s="8"/>
      <c r="H20" s="8"/>
      <c r="I20" s="8"/>
      <c r="J20" s="8"/>
      <c r="K20" s="8"/>
      <c r="L20" s="8"/>
      <c r="M20" s="9">
        <f t="shared" si="0"/>
        <v>1000</v>
      </c>
      <c r="N20" s="10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15.75" customHeight="1">
      <c r="A21" s="7">
        <v>20</v>
      </c>
      <c r="B21" s="7" t="s">
        <v>32</v>
      </c>
      <c r="C21" s="8">
        <v>5000</v>
      </c>
      <c r="D21" s="8">
        <v>5000</v>
      </c>
      <c r="E21" s="8"/>
      <c r="F21" s="8"/>
      <c r="G21" s="8"/>
      <c r="H21" s="8"/>
      <c r="I21" s="8"/>
      <c r="J21" s="8"/>
      <c r="K21" s="8"/>
      <c r="L21" s="8"/>
      <c r="M21" s="9">
        <f t="shared" si="0"/>
        <v>10000</v>
      </c>
      <c r="N21" s="10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15.75" customHeight="1">
      <c r="A22" s="7">
        <v>21</v>
      </c>
      <c r="B22" s="7" t="s">
        <v>33</v>
      </c>
      <c r="C22" s="8">
        <v>1000</v>
      </c>
      <c r="D22" s="8">
        <v>1000</v>
      </c>
      <c r="E22" s="8"/>
      <c r="F22" s="8"/>
      <c r="G22" s="8"/>
      <c r="H22" s="8"/>
      <c r="I22" s="8"/>
      <c r="J22" s="8"/>
      <c r="K22" s="8"/>
      <c r="L22" s="8"/>
      <c r="M22" s="9">
        <f t="shared" si="0"/>
        <v>2000</v>
      </c>
      <c r="N22" s="10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15.75" customHeight="1">
      <c r="A23" s="7">
        <v>22</v>
      </c>
      <c r="B23" s="7" t="s">
        <v>34</v>
      </c>
      <c r="C23" s="8">
        <v>1000</v>
      </c>
      <c r="D23" s="8">
        <v>1000</v>
      </c>
      <c r="E23" s="8"/>
      <c r="F23" s="8"/>
      <c r="G23" s="8"/>
      <c r="H23" s="8"/>
      <c r="I23" s="8"/>
      <c r="J23" s="8"/>
      <c r="K23" s="8"/>
      <c r="L23" s="8"/>
      <c r="M23" s="9">
        <f t="shared" si="0"/>
        <v>2000</v>
      </c>
      <c r="N23" s="10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15.75" customHeight="1">
      <c r="A24" s="7">
        <v>23</v>
      </c>
      <c r="B24" s="7" t="s">
        <v>35</v>
      </c>
      <c r="C24" s="8"/>
      <c r="D24" s="8">
        <v>5000</v>
      </c>
      <c r="E24" s="8"/>
      <c r="F24" s="8"/>
      <c r="G24" s="8"/>
      <c r="H24" s="8"/>
      <c r="I24" s="8"/>
      <c r="J24" s="8"/>
      <c r="K24" s="8"/>
      <c r="L24" s="8"/>
      <c r="M24" s="9">
        <f t="shared" si="0"/>
        <v>5000</v>
      </c>
      <c r="N24" s="10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15.75" customHeight="1">
      <c r="A25" s="7">
        <v>24</v>
      </c>
      <c r="B25" s="7" t="s">
        <v>36</v>
      </c>
      <c r="C25" s="8"/>
      <c r="D25" s="8">
        <v>1000</v>
      </c>
      <c r="E25" s="8"/>
      <c r="F25" s="8"/>
      <c r="G25" s="8"/>
      <c r="H25" s="8"/>
      <c r="I25" s="8"/>
      <c r="J25" s="8"/>
      <c r="K25" s="8"/>
      <c r="L25" s="8"/>
      <c r="M25" s="9">
        <f t="shared" si="0"/>
        <v>1000</v>
      </c>
      <c r="N25" s="10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.75" customHeight="1">
      <c r="A26" s="7">
        <v>25</v>
      </c>
      <c r="B26" s="7" t="s">
        <v>37</v>
      </c>
      <c r="C26" s="8">
        <v>500</v>
      </c>
      <c r="D26" s="8">
        <v>500</v>
      </c>
      <c r="E26" s="8"/>
      <c r="F26" s="8"/>
      <c r="G26" s="8"/>
      <c r="H26" s="8"/>
      <c r="I26" s="8"/>
      <c r="J26" s="8"/>
      <c r="K26" s="8"/>
      <c r="L26" s="8"/>
      <c r="M26" s="9">
        <f t="shared" si="0"/>
        <v>1000</v>
      </c>
      <c r="N26" s="10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>
      <c r="A27" s="7">
        <v>26</v>
      </c>
      <c r="B27" s="7" t="s">
        <v>38</v>
      </c>
      <c r="C27" s="8">
        <v>1000</v>
      </c>
      <c r="D27" s="8"/>
      <c r="E27" s="8"/>
      <c r="F27" s="8"/>
      <c r="G27" s="8"/>
      <c r="H27" s="8"/>
      <c r="I27" s="8"/>
      <c r="J27" s="8"/>
      <c r="K27" s="8"/>
      <c r="L27" s="8"/>
      <c r="M27" s="9">
        <f t="shared" si="0"/>
        <v>1000</v>
      </c>
      <c r="N27" s="10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>
      <c r="A28" s="7">
        <v>27</v>
      </c>
      <c r="B28" s="7" t="s">
        <v>39</v>
      </c>
      <c r="C28" s="8">
        <v>2000</v>
      </c>
      <c r="D28" s="8"/>
      <c r="E28" s="8"/>
      <c r="F28" s="8"/>
      <c r="G28" s="8"/>
      <c r="H28" s="8"/>
      <c r="I28" s="8"/>
      <c r="J28" s="8"/>
      <c r="K28" s="8"/>
      <c r="L28" s="8"/>
      <c r="M28" s="9">
        <f t="shared" si="0"/>
        <v>2000</v>
      </c>
      <c r="N28" s="10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>
      <c r="A29" s="7">
        <v>28</v>
      </c>
      <c r="B29" s="7" t="s">
        <v>40</v>
      </c>
      <c r="C29" s="8"/>
      <c r="D29" s="8">
        <v>5000</v>
      </c>
      <c r="E29" s="8"/>
      <c r="F29" s="8"/>
      <c r="G29" s="8"/>
      <c r="H29" s="8"/>
      <c r="I29" s="8"/>
      <c r="J29" s="8"/>
      <c r="K29" s="8"/>
      <c r="L29" s="8"/>
      <c r="M29" s="9">
        <f t="shared" si="0"/>
        <v>5000</v>
      </c>
      <c r="N29" s="10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>
      <c r="A30" s="13">
        <v>29</v>
      </c>
      <c r="B30" s="13" t="s">
        <v>41</v>
      </c>
      <c r="C30" s="14"/>
      <c r="D30" s="14">
        <v>1000</v>
      </c>
      <c r="E30" s="14"/>
      <c r="F30" s="14"/>
      <c r="G30" s="14"/>
      <c r="H30" s="14"/>
      <c r="I30" s="14"/>
      <c r="J30" s="14"/>
      <c r="K30" s="14"/>
      <c r="L30" s="14"/>
      <c r="M30" s="9">
        <f t="shared" si="0"/>
        <v>1000</v>
      </c>
      <c r="N30" s="15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spans="1:29" ht="15.75" customHeight="1">
      <c r="A31" s="7">
        <v>30</v>
      </c>
      <c r="B31" s="7" t="s">
        <v>42</v>
      </c>
      <c r="C31" s="8"/>
      <c r="D31" s="8"/>
      <c r="E31" s="8"/>
      <c r="F31" s="8">
        <v>10000</v>
      </c>
      <c r="G31" s="8"/>
      <c r="H31" s="8"/>
      <c r="I31" s="8"/>
      <c r="J31" s="8"/>
      <c r="K31" s="8"/>
      <c r="L31" s="8"/>
      <c r="M31" s="9">
        <f t="shared" si="0"/>
        <v>10000</v>
      </c>
      <c r="N31" s="10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>
      <c r="A32" s="7">
        <v>31</v>
      </c>
      <c r="B32" s="7" t="s">
        <v>43</v>
      </c>
      <c r="C32" s="8"/>
      <c r="D32" s="8"/>
      <c r="E32" s="8"/>
      <c r="F32" s="8"/>
      <c r="G32" s="8"/>
      <c r="H32" s="8"/>
      <c r="I32" s="8"/>
      <c r="J32" s="8"/>
      <c r="K32" s="8">
        <v>500000</v>
      </c>
      <c r="L32" s="8"/>
      <c r="M32" s="9">
        <f t="shared" si="0"/>
        <v>500000</v>
      </c>
      <c r="N32" s="10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>
      <c r="A33" s="7">
        <v>32</v>
      </c>
      <c r="B33" s="7" t="s">
        <v>44</v>
      </c>
      <c r="C33" s="8"/>
      <c r="D33" s="8">
        <v>50000</v>
      </c>
      <c r="E33" s="8"/>
      <c r="F33" s="8"/>
      <c r="G33" s="8"/>
      <c r="H33" s="8"/>
      <c r="I33" s="8"/>
      <c r="J33" s="8"/>
      <c r="K33" s="8"/>
      <c r="L33" s="8"/>
      <c r="M33" s="9">
        <f t="shared" si="0"/>
        <v>50000</v>
      </c>
      <c r="N33" s="10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>
      <c r="A34" s="7">
        <v>33</v>
      </c>
      <c r="B34" s="7" t="s">
        <v>45</v>
      </c>
      <c r="C34" s="8">
        <v>1000</v>
      </c>
      <c r="D34" s="8"/>
      <c r="E34" s="8"/>
      <c r="F34" s="8"/>
      <c r="G34" s="8"/>
      <c r="H34" s="8"/>
      <c r="I34" s="8"/>
      <c r="J34" s="8"/>
      <c r="K34" s="8"/>
      <c r="L34" s="8"/>
      <c r="M34" s="9">
        <f t="shared" si="0"/>
        <v>1000</v>
      </c>
      <c r="N34" s="10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>
      <c r="A35" s="7">
        <v>34</v>
      </c>
      <c r="B35" s="7" t="s">
        <v>46</v>
      </c>
      <c r="C35" s="8">
        <v>2100</v>
      </c>
      <c r="D35" s="8">
        <v>2100</v>
      </c>
      <c r="E35" s="8"/>
      <c r="F35" s="8">
        <v>800</v>
      </c>
      <c r="G35" s="8"/>
      <c r="H35" s="8"/>
      <c r="I35" s="8"/>
      <c r="J35" s="8"/>
      <c r="K35" s="8"/>
      <c r="L35" s="8"/>
      <c r="M35" s="9">
        <f t="shared" si="0"/>
        <v>5000</v>
      </c>
      <c r="N35" s="10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>
      <c r="A36" s="7">
        <v>35</v>
      </c>
      <c r="B36" s="7" t="s">
        <v>47</v>
      </c>
      <c r="C36" s="8"/>
      <c r="D36" s="8">
        <v>1000</v>
      </c>
      <c r="E36" s="8"/>
      <c r="F36" s="8"/>
      <c r="G36" s="8"/>
      <c r="H36" s="8"/>
      <c r="I36" s="8"/>
      <c r="J36" s="8"/>
      <c r="K36" s="8"/>
      <c r="L36" s="8"/>
      <c r="M36" s="9">
        <f t="shared" si="0"/>
        <v>1000</v>
      </c>
      <c r="N36" s="10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>
      <c r="A37" s="7">
        <v>36</v>
      </c>
      <c r="B37" s="7" t="s">
        <v>48</v>
      </c>
      <c r="C37" s="8"/>
      <c r="D37" s="8">
        <v>10000</v>
      </c>
      <c r="E37" s="8"/>
      <c r="F37" s="8"/>
      <c r="G37" s="8"/>
      <c r="H37" s="8"/>
      <c r="I37" s="8"/>
      <c r="J37" s="8"/>
      <c r="K37" s="8"/>
      <c r="L37" s="8"/>
      <c r="M37" s="9">
        <f t="shared" si="0"/>
        <v>10000</v>
      </c>
      <c r="N37" s="10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>
      <c r="A38" s="7">
        <v>37</v>
      </c>
      <c r="B38" s="7" t="s">
        <v>49</v>
      </c>
      <c r="C38" s="8"/>
      <c r="D38" s="8">
        <v>10000</v>
      </c>
      <c r="E38" s="8"/>
      <c r="F38" s="8"/>
      <c r="G38" s="8"/>
      <c r="H38" s="8"/>
      <c r="I38" s="8"/>
      <c r="J38" s="8"/>
      <c r="K38" s="8"/>
      <c r="L38" s="8"/>
      <c r="M38" s="9">
        <f t="shared" si="0"/>
        <v>10000</v>
      </c>
      <c r="N38" s="10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>
      <c r="A39" s="7">
        <v>38</v>
      </c>
      <c r="B39" s="7" t="s">
        <v>50</v>
      </c>
      <c r="C39" s="8"/>
      <c r="D39" s="8">
        <v>50000</v>
      </c>
      <c r="E39" s="8"/>
      <c r="F39" s="8"/>
      <c r="G39" s="8"/>
      <c r="H39" s="8"/>
      <c r="I39" s="8"/>
      <c r="J39" s="8"/>
      <c r="K39" s="8"/>
      <c r="L39" s="8"/>
      <c r="M39" s="9">
        <f t="shared" si="0"/>
        <v>50000</v>
      </c>
      <c r="N39" s="10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>
      <c r="A40" s="7">
        <v>39</v>
      </c>
      <c r="B40" s="7" t="s">
        <v>51</v>
      </c>
      <c r="C40" s="8"/>
      <c r="D40" s="8">
        <v>50000</v>
      </c>
      <c r="E40" s="8"/>
      <c r="F40" s="8"/>
      <c r="G40" s="8"/>
      <c r="H40" s="8"/>
      <c r="I40" s="8"/>
      <c r="J40" s="8"/>
      <c r="K40" s="8"/>
      <c r="L40" s="8"/>
      <c r="M40" s="9">
        <f t="shared" si="0"/>
        <v>50000</v>
      </c>
      <c r="N40" s="10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5.75" customHeight="1">
      <c r="A41" s="7">
        <v>40</v>
      </c>
      <c r="B41" s="7" t="s">
        <v>52</v>
      </c>
      <c r="C41" s="8"/>
      <c r="D41" s="8"/>
      <c r="E41" s="8"/>
      <c r="F41" s="8">
        <v>20000</v>
      </c>
      <c r="G41" s="8"/>
      <c r="H41" s="8"/>
      <c r="I41" s="8"/>
      <c r="J41" s="8"/>
      <c r="K41" s="8"/>
      <c r="L41" s="8"/>
      <c r="M41" s="9">
        <f t="shared" si="0"/>
        <v>20000</v>
      </c>
      <c r="N41" s="10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15.75" customHeight="1">
      <c r="A42" s="7">
        <v>41</v>
      </c>
      <c r="B42" s="7" t="s">
        <v>53</v>
      </c>
      <c r="C42" s="8"/>
      <c r="D42" s="8">
        <v>10000</v>
      </c>
      <c r="E42" s="8"/>
      <c r="F42" s="8"/>
      <c r="G42" s="8"/>
      <c r="H42" s="8"/>
      <c r="I42" s="8"/>
      <c r="J42" s="8"/>
      <c r="K42" s="8"/>
      <c r="L42" s="8"/>
      <c r="M42" s="9">
        <f t="shared" si="0"/>
        <v>10000</v>
      </c>
      <c r="N42" s="10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15.75" customHeight="1">
      <c r="A43" s="7">
        <v>42</v>
      </c>
      <c r="B43" s="7" t="s">
        <v>54</v>
      </c>
      <c r="C43" s="8">
        <v>2000</v>
      </c>
      <c r="D43" s="8"/>
      <c r="E43" s="8"/>
      <c r="F43" s="8"/>
      <c r="G43" s="8"/>
      <c r="H43" s="8"/>
      <c r="I43" s="8"/>
      <c r="J43" s="8"/>
      <c r="K43" s="8"/>
      <c r="L43" s="8"/>
      <c r="M43" s="9">
        <f t="shared" si="0"/>
        <v>2000</v>
      </c>
      <c r="N43" s="10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15.75" customHeight="1">
      <c r="A44" s="7">
        <v>43</v>
      </c>
      <c r="B44" s="7" t="s">
        <v>55</v>
      </c>
      <c r="C44" s="8"/>
      <c r="D44" s="8">
        <v>2000</v>
      </c>
      <c r="E44" s="8"/>
      <c r="F44" s="8"/>
      <c r="G44" s="8"/>
      <c r="H44" s="8"/>
      <c r="I44" s="8"/>
      <c r="J44" s="8"/>
      <c r="K44" s="8"/>
      <c r="L44" s="8"/>
      <c r="M44" s="9">
        <f t="shared" si="0"/>
        <v>2000</v>
      </c>
      <c r="N44" s="10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15.75" customHeight="1">
      <c r="A45" s="7">
        <v>44</v>
      </c>
      <c r="B45" s="7" t="s">
        <v>56</v>
      </c>
      <c r="C45" s="8"/>
      <c r="D45" s="8">
        <v>2000</v>
      </c>
      <c r="E45" s="8"/>
      <c r="F45" s="8"/>
      <c r="G45" s="8"/>
      <c r="H45" s="8"/>
      <c r="I45" s="8"/>
      <c r="J45" s="8"/>
      <c r="K45" s="8"/>
      <c r="L45" s="8"/>
      <c r="M45" s="9">
        <f t="shared" si="0"/>
        <v>2000</v>
      </c>
      <c r="N45" s="10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15.75" customHeight="1">
      <c r="A46" s="7">
        <v>45</v>
      </c>
      <c r="B46" s="7" t="s">
        <v>57</v>
      </c>
      <c r="C46" s="8"/>
      <c r="D46" s="8">
        <v>5000</v>
      </c>
      <c r="E46" s="8"/>
      <c r="F46" s="8"/>
      <c r="G46" s="8"/>
      <c r="H46" s="8"/>
      <c r="I46" s="8"/>
      <c r="J46" s="8"/>
      <c r="K46" s="8">
        <v>10000</v>
      </c>
      <c r="L46" s="8"/>
      <c r="M46" s="9">
        <f t="shared" si="0"/>
        <v>15000</v>
      </c>
      <c r="N46" s="10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15.75" customHeight="1">
      <c r="A47" s="7">
        <v>46</v>
      </c>
      <c r="B47" s="7" t="s">
        <v>58</v>
      </c>
      <c r="C47" s="8">
        <v>3000</v>
      </c>
      <c r="D47" s="8">
        <v>2000</v>
      </c>
      <c r="E47" s="8"/>
      <c r="F47" s="8"/>
      <c r="G47" s="8"/>
      <c r="H47" s="8"/>
      <c r="I47" s="8"/>
      <c r="J47" s="8"/>
      <c r="K47" s="8"/>
      <c r="L47" s="8"/>
      <c r="M47" s="9">
        <f t="shared" si="0"/>
        <v>5000</v>
      </c>
      <c r="N47" s="10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15.75" customHeight="1">
      <c r="A48" s="7">
        <v>47</v>
      </c>
      <c r="B48" s="7" t="s">
        <v>59</v>
      </c>
      <c r="C48" s="8"/>
      <c r="D48" s="8">
        <v>2000</v>
      </c>
      <c r="E48" s="8"/>
      <c r="F48" s="8"/>
      <c r="G48" s="8"/>
      <c r="H48" s="8"/>
      <c r="I48" s="8"/>
      <c r="J48" s="8"/>
      <c r="K48" s="8"/>
      <c r="L48" s="8"/>
      <c r="M48" s="9">
        <f t="shared" si="0"/>
        <v>2000</v>
      </c>
      <c r="N48" s="10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15.75" customHeight="1">
      <c r="A49" s="7">
        <v>48</v>
      </c>
      <c r="B49" s="7" t="s">
        <v>60</v>
      </c>
      <c r="C49" s="8">
        <v>1000</v>
      </c>
      <c r="D49" s="8">
        <v>1000</v>
      </c>
      <c r="E49" s="8"/>
      <c r="F49" s="8"/>
      <c r="G49" s="8"/>
      <c r="H49" s="8"/>
      <c r="I49" s="8"/>
      <c r="J49" s="8"/>
      <c r="K49" s="8"/>
      <c r="L49" s="8"/>
      <c r="M49" s="9">
        <f t="shared" si="0"/>
        <v>2000</v>
      </c>
      <c r="N49" s="10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15.75" customHeight="1">
      <c r="A50" s="7">
        <v>49</v>
      </c>
      <c r="B50" s="7" t="s">
        <v>61</v>
      </c>
      <c r="C50" s="8">
        <v>3000</v>
      </c>
      <c r="D50" s="8"/>
      <c r="E50" s="8"/>
      <c r="F50" s="8"/>
      <c r="G50" s="8"/>
      <c r="H50" s="8"/>
      <c r="I50" s="8"/>
      <c r="J50" s="8"/>
      <c r="K50" s="8"/>
      <c r="L50" s="8"/>
      <c r="M50" s="9">
        <f t="shared" si="0"/>
        <v>3000</v>
      </c>
      <c r="N50" s="10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15.75" customHeight="1">
      <c r="A51" s="7">
        <v>50</v>
      </c>
      <c r="B51" s="7" t="s">
        <v>62</v>
      </c>
      <c r="C51" s="8">
        <v>1000</v>
      </c>
      <c r="D51" s="8">
        <v>1000</v>
      </c>
      <c r="E51" s="8"/>
      <c r="F51" s="8"/>
      <c r="G51" s="8"/>
      <c r="H51" s="8"/>
      <c r="I51" s="8"/>
      <c r="J51" s="8"/>
      <c r="K51" s="8"/>
      <c r="L51" s="8"/>
      <c r="M51" s="9">
        <f t="shared" si="0"/>
        <v>2000</v>
      </c>
      <c r="N51" s="10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15.75" customHeight="1">
      <c r="A52" s="7">
        <v>51</v>
      </c>
      <c r="B52" s="7" t="s">
        <v>63</v>
      </c>
      <c r="C52" s="8">
        <v>1000</v>
      </c>
      <c r="D52" s="8">
        <v>1000</v>
      </c>
      <c r="E52" s="8"/>
      <c r="F52" s="8"/>
      <c r="G52" s="8"/>
      <c r="H52" s="8"/>
      <c r="I52" s="8"/>
      <c r="J52" s="8"/>
      <c r="K52" s="8"/>
      <c r="L52" s="8"/>
      <c r="M52" s="9">
        <f t="shared" si="0"/>
        <v>2000</v>
      </c>
      <c r="N52" s="10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ht="15.75" customHeight="1">
      <c r="A53" s="7">
        <v>52</v>
      </c>
      <c r="B53" s="7" t="s">
        <v>64</v>
      </c>
      <c r="C53" s="8"/>
      <c r="D53" s="8">
        <v>500</v>
      </c>
      <c r="E53" s="8"/>
      <c r="F53" s="8"/>
      <c r="G53" s="8"/>
      <c r="H53" s="8"/>
      <c r="I53" s="8"/>
      <c r="J53" s="8"/>
      <c r="K53" s="8"/>
      <c r="L53" s="8"/>
      <c r="M53" s="9">
        <f t="shared" si="0"/>
        <v>500</v>
      </c>
      <c r="N53" s="10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15.75" customHeight="1">
      <c r="A54" s="7">
        <v>53</v>
      </c>
      <c r="B54" s="7" t="s">
        <v>65</v>
      </c>
      <c r="C54" s="8"/>
      <c r="D54" s="8">
        <v>10000</v>
      </c>
      <c r="E54" s="8"/>
      <c r="F54" s="8"/>
      <c r="G54" s="8"/>
      <c r="H54" s="8"/>
      <c r="I54" s="8"/>
      <c r="J54" s="8"/>
      <c r="K54" s="8"/>
      <c r="L54" s="8"/>
      <c r="M54" s="9">
        <f t="shared" si="0"/>
        <v>10000</v>
      </c>
      <c r="N54" s="10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15.75" customHeight="1">
      <c r="A55" s="7">
        <v>54</v>
      </c>
      <c r="B55" s="7" t="s">
        <v>66</v>
      </c>
      <c r="C55" s="8"/>
      <c r="D55" s="8">
        <v>2000</v>
      </c>
      <c r="E55" s="8"/>
      <c r="F55" s="8"/>
      <c r="G55" s="8"/>
      <c r="H55" s="8"/>
      <c r="I55" s="8"/>
      <c r="J55" s="8"/>
      <c r="K55" s="8"/>
      <c r="L55" s="8"/>
      <c r="M55" s="9">
        <f t="shared" si="0"/>
        <v>2000</v>
      </c>
      <c r="N55" s="10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15.75" customHeight="1">
      <c r="A56" s="7">
        <v>55</v>
      </c>
      <c r="B56" s="7" t="s">
        <v>67</v>
      </c>
      <c r="C56" s="8">
        <v>53000</v>
      </c>
      <c r="D56" s="8">
        <v>10000</v>
      </c>
      <c r="E56" s="8"/>
      <c r="F56" s="8"/>
      <c r="G56" s="8"/>
      <c r="H56" s="8"/>
      <c r="I56" s="8"/>
      <c r="J56" s="8"/>
      <c r="K56" s="8"/>
      <c r="L56" s="8"/>
      <c r="M56" s="9">
        <f t="shared" si="0"/>
        <v>63000</v>
      </c>
      <c r="N56" s="10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15.75" customHeight="1">
      <c r="A57" s="7">
        <v>56</v>
      </c>
      <c r="B57" s="7" t="s">
        <v>68</v>
      </c>
      <c r="C57" s="8">
        <v>500</v>
      </c>
      <c r="D57" s="8">
        <v>500</v>
      </c>
      <c r="E57" s="8"/>
      <c r="F57" s="8"/>
      <c r="G57" s="8"/>
      <c r="H57" s="8"/>
      <c r="I57" s="8"/>
      <c r="J57" s="8"/>
      <c r="K57" s="8"/>
      <c r="L57" s="8"/>
      <c r="M57" s="9">
        <f t="shared" si="0"/>
        <v>1000</v>
      </c>
      <c r="N57" s="10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15.75" customHeight="1">
      <c r="A58" s="7">
        <v>57</v>
      </c>
      <c r="B58" s="7" t="s">
        <v>69</v>
      </c>
      <c r="C58" s="8"/>
      <c r="D58" s="8">
        <v>5000</v>
      </c>
      <c r="E58" s="8"/>
      <c r="F58" s="8"/>
      <c r="G58" s="8"/>
      <c r="H58" s="8"/>
      <c r="I58" s="8"/>
      <c r="J58" s="8"/>
      <c r="K58" s="8"/>
      <c r="L58" s="8"/>
      <c r="M58" s="9">
        <f t="shared" si="0"/>
        <v>5000</v>
      </c>
      <c r="N58" s="10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ht="15.75" customHeight="1">
      <c r="A59" s="7">
        <v>58</v>
      </c>
      <c r="B59" s="7" t="s">
        <v>70</v>
      </c>
      <c r="C59" s="8">
        <v>20000</v>
      </c>
      <c r="D59" s="8">
        <v>20000</v>
      </c>
      <c r="E59" s="8"/>
      <c r="F59" s="8"/>
      <c r="G59" s="8"/>
      <c r="H59" s="8"/>
      <c r="I59" s="8"/>
      <c r="J59" s="8"/>
      <c r="K59" s="8"/>
      <c r="L59" s="8"/>
      <c r="M59" s="9">
        <f t="shared" si="0"/>
        <v>40000</v>
      </c>
      <c r="N59" s="10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15.75" customHeight="1">
      <c r="A60" s="7">
        <v>59</v>
      </c>
      <c r="B60" s="7" t="s">
        <v>71</v>
      </c>
      <c r="C60" s="8">
        <v>7000</v>
      </c>
      <c r="D60" s="8">
        <v>7000</v>
      </c>
      <c r="E60" s="8"/>
      <c r="F60" s="8"/>
      <c r="G60" s="8"/>
      <c r="H60" s="8"/>
      <c r="I60" s="8"/>
      <c r="J60" s="8"/>
      <c r="K60" s="8"/>
      <c r="L60" s="8"/>
      <c r="M60" s="9">
        <f t="shared" si="0"/>
        <v>14000</v>
      </c>
      <c r="N60" s="10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ht="15.75" customHeight="1">
      <c r="A61" s="7">
        <v>60</v>
      </c>
      <c r="B61" s="7" t="s">
        <v>72</v>
      </c>
      <c r="C61" s="8">
        <v>5000</v>
      </c>
      <c r="D61" s="8">
        <v>5000</v>
      </c>
      <c r="E61" s="8"/>
      <c r="F61" s="8"/>
      <c r="G61" s="8"/>
      <c r="H61" s="8"/>
      <c r="I61" s="8"/>
      <c r="J61" s="8"/>
      <c r="K61" s="8"/>
      <c r="L61" s="8"/>
      <c r="M61" s="9">
        <f t="shared" si="0"/>
        <v>10000</v>
      </c>
      <c r="N61" s="10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ht="15.75" customHeight="1">
      <c r="A62" s="7">
        <v>61</v>
      </c>
      <c r="B62" s="7" t="s">
        <v>73</v>
      </c>
      <c r="C62" s="8"/>
      <c r="D62" s="8">
        <v>500</v>
      </c>
      <c r="E62" s="8"/>
      <c r="F62" s="8"/>
      <c r="G62" s="8"/>
      <c r="H62" s="8"/>
      <c r="I62" s="8"/>
      <c r="J62" s="8"/>
      <c r="K62" s="8"/>
      <c r="L62" s="8"/>
      <c r="M62" s="9">
        <f t="shared" si="0"/>
        <v>500</v>
      </c>
      <c r="N62" s="10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t="15.75" customHeight="1">
      <c r="A63" s="7">
        <v>62</v>
      </c>
      <c r="B63" s="7" t="s">
        <v>74</v>
      </c>
      <c r="C63" s="8"/>
      <c r="D63" s="8">
        <v>1000</v>
      </c>
      <c r="E63" s="8"/>
      <c r="F63" s="8"/>
      <c r="G63" s="8"/>
      <c r="H63" s="8"/>
      <c r="I63" s="8"/>
      <c r="J63" s="8"/>
      <c r="K63" s="8"/>
      <c r="L63" s="8"/>
      <c r="M63" s="9">
        <f t="shared" si="0"/>
        <v>1000</v>
      </c>
      <c r="N63" s="10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ht="15.75" customHeight="1">
      <c r="A64" s="7">
        <v>63</v>
      </c>
      <c r="B64" s="7" t="s">
        <v>75</v>
      </c>
      <c r="C64" s="8"/>
      <c r="D64" s="8">
        <v>5000</v>
      </c>
      <c r="E64" s="8"/>
      <c r="F64" s="8"/>
      <c r="G64" s="6"/>
      <c r="H64" s="8"/>
      <c r="I64" s="8"/>
      <c r="J64" s="8"/>
      <c r="K64" s="11"/>
      <c r="L64" s="8"/>
      <c r="M64" s="9">
        <f t="shared" si="0"/>
        <v>5000</v>
      </c>
      <c r="N64" s="10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ht="15.75" customHeight="1">
      <c r="A65" s="7">
        <v>64</v>
      </c>
      <c r="B65" s="7" t="s">
        <v>76</v>
      </c>
      <c r="C65" s="8"/>
      <c r="D65" s="8">
        <v>20000</v>
      </c>
      <c r="E65" s="8"/>
      <c r="F65" s="8"/>
      <c r="G65" s="8"/>
      <c r="H65" s="8"/>
      <c r="I65" s="8"/>
      <c r="J65" s="8"/>
      <c r="K65" s="8"/>
      <c r="L65" s="8"/>
      <c r="M65" s="9">
        <f t="shared" si="0"/>
        <v>20000</v>
      </c>
      <c r="N65" s="10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ht="15.75" customHeight="1">
      <c r="A66" s="7">
        <v>65</v>
      </c>
      <c r="B66" s="8" t="s">
        <v>77</v>
      </c>
      <c r="C66" s="11">
        <v>4000</v>
      </c>
      <c r="D66" s="8">
        <v>4000</v>
      </c>
      <c r="E66" s="8"/>
      <c r="F66" s="8"/>
      <c r="G66" s="8"/>
      <c r="H66" s="8"/>
      <c r="I66" s="8"/>
      <c r="J66" s="8"/>
      <c r="K66" s="8"/>
      <c r="L66" s="8"/>
      <c r="M66" s="9">
        <f t="shared" si="0"/>
        <v>8000</v>
      </c>
      <c r="N66" s="10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ht="15.75" customHeight="1">
      <c r="A67" s="7">
        <v>66</v>
      </c>
      <c r="B67" s="7" t="s">
        <v>78</v>
      </c>
      <c r="C67" s="8">
        <v>10000</v>
      </c>
      <c r="D67" s="8"/>
      <c r="E67" s="8"/>
      <c r="F67" s="8"/>
      <c r="G67" s="8"/>
      <c r="H67" s="8"/>
      <c r="I67" s="8"/>
      <c r="J67" s="8"/>
      <c r="K67" s="8"/>
      <c r="L67" s="8"/>
      <c r="M67" s="9">
        <f t="shared" si="0"/>
        <v>10000</v>
      </c>
      <c r="N67" s="10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ht="15.75" customHeight="1">
      <c r="A68" s="7">
        <v>67</v>
      </c>
      <c r="B68" s="17" t="s">
        <v>79</v>
      </c>
      <c r="C68" s="8"/>
      <c r="D68" s="8">
        <v>400</v>
      </c>
      <c r="E68" s="8"/>
      <c r="F68" s="8"/>
      <c r="G68" s="8"/>
      <c r="H68" s="8"/>
      <c r="I68" s="8"/>
      <c r="J68" s="8"/>
      <c r="K68" s="8"/>
      <c r="L68" s="8"/>
      <c r="M68" s="9">
        <f t="shared" si="0"/>
        <v>400</v>
      </c>
      <c r="N68" s="10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ht="15.75" customHeight="1">
      <c r="A69" s="7">
        <v>68</v>
      </c>
      <c r="B69" s="7" t="s">
        <v>80</v>
      </c>
      <c r="C69" s="8"/>
      <c r="D69" s="8">
        <v>5000</v>
      </c>
      <c r="E69" s="8"/>
      <c r="F69" s="8"/>
      <c r="G69" s="8"/>
      <c r="H69" s="8"/>
      <c r="I69" s="8"/>
      <c r="J69" s="8"/>
      <c r="K69" s="8"/>
      <c r="L69" s="8"/>
      <c r="M69" s="9">
        <f t="shared" si="0"/>
        <v>5000</v>
      </c>
      <c r="N69" s="10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 ht="15.75" customHeight="1">
      <c r="A70" s="7">
        <v>69</v>
      </c>
      <c r="B70" s="7" t="s">
        <v>81</v>
      </c>
      <c r="C70" s="8"/>
      <c r="D70" s="8">
        <v>1000</v>
      </c>
      <c r="E70" s="8"/>
      <c r="F70" s="8"/>
      <c r="G70" s="8"/>
      <c r="H70" s="8"/>
      <c r="I70" s="8"/>
      <c r="J70" s="8"/>
      <c r="K70" s="8"/>
      <c r="L70" s="8"/>
      <c r="M70" s="9">
        <f t="shared" si="0"/>
        <v>1000</v>
      </c>
      <c r="N70" s="10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ht="15.75" customHeight="1">
      <c r="A71" s="7">
        <v>70</v>
      </c>
      <c r="B71" s="7" t="s">
        <v>82</v>
      </c>
      <c r="C71" s="8">
        <v>2000</v>
      </c>
      <c r="D71" s="8"/>
      <c r="E71" s="8"/>
      <c r="F71" s="8"/>
      <c r="G71" s="8"/>
      <c r="H71" s="8"/>
      <c r="I71" s="8"/>
      <c r="J71" s="8"/>
      <c r="K71" s="8"/>
      <c r="L71" s="8"/>
      <c r="M71" s="9">
        <f t="shared" si="0"/>
        <v>2000</v>
      </c>
      <c r="N71" s="10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15.75" customHeight="1">
      <c r="A72" s="7">
        <v>71</v>
      </c>
      <c r="B72" s="7" t="s">
        <v>83</v>
      </c>
      <c r="C72" s="8"/>
      <c r="D72" s="8">
        <v>500</v>
      </c>
      <c r="E72" s="8"/>
      <c r="F72" s="8"/>
      <c r="G72" s="8"/>
      <c r="H72" s="8"/>
      <c r="I72" s="8"/>
      <c r="J72" s="8"/>
      <c r="K72" s="8"/>
      <c r="L72" s="8"/>
      <c r="M72" s="9">
        <f t="shared" si="0"/>
        <v>500</v>
      </c>
      <c r="N72" s="10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ht="15.75" customHeight="1">
      <c r="A73" s="7">
        <v>72</v>
      </c>
      <c r="B73" s="7" t="s">
        <v>84</v>
      </c>
      <c r="C73" s="8">
        <v>2650</v>
      </c>
      <c r="D73" s="8">
        <v>2650</v>
      </c>
      <c r="E73" s="8"/>
      <c r="F73" s="8"/>
      <c r="G73" s="8"/>
      <c r="H73" s="8"/>
      <c r="I73" s="8"/>
      <c r="J73" s="8"/>
      <c r="K73" s="8"/>
      <c r="L73" s="8"/>
      <c r="M73" s="9">
        <f t="shared" si="0"/>
        <v>5300</v>
      </c>
      <c r="N73" s="10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15.75" customHeight="1">
      <c r="A74" s="7">
        <v>73</v>
      </c>
      <c r="B74" s="7" t="s">
        <v>85</v>
      </c>
      <c r="C74" s="8"/>
      <c r="D74" s="8">
        <v>1000</v>
      </c>
      <c r="E74" s="8"/>
      <c r="F74" s="8"/>
      <c r="G74" s="8"/>
      <c r="H74" s="8"/>
      <c r="I74" s="8"/>
      <c r="J74" s="8"/>
      <c r="K74" s="8"/>
      <c r="L74" s="8"/>
      <c r="M74" s="9">
        <f t="shared" si="0"/>
        <v>1000</v>
      </c>
      <c r="N74" s="10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15.75" customHeight="1">
      <c r="A75" s="7">
        <v>74</v>
      </c>
      <c r="B75" s="7" t="s">
        <v>86</v>
      </c>
      <c r="C75" s="8">
        <v>42200</v>
      </c>
      <c r="D75" s="8">
        <v>47800</v>
      </c>
      <c r="E75" s="8"/>
      <c r="F75" s="8"/>
      <c r="G75" s="8"/>
      <c r="H75" s="8"/>
      <c r="I75" s="8"/>
      <c r="J75" s="8"/>
      <c r="K75" s="8"/>
      <c r="L75" s="8"/>
      <c r="M75" s="9">
        <f t="shared" si="0"/>
        <v>90000</v>
      </c>
      <c r="N75" s="10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15.75" customHeight="1">
      <c r="A76" s="7">
        <v>75</v>
      </c>
      <c r="B76" s="7" t="s">
        <v>87</v>
      </c>
      <c r="C76" s="8"/>
      <c r="D76" s="8">
        <v>30000</v>
      </c>
      <c r="E76" s="8"/>
      <c r="F76" s="8"/>
      <c r="G76" s="8"/>
      <c r="H76" s="8"/>
      <c r="I76" s="8"/>
      <c r="J76" s="8"/>
      <c r="K76" s="8"/>
      <c r="L76" s="8"/>
      <c r="M76" s="9">
        <f t="shared" si="0"/>
        <v>30000</v>
      </c>
      <c r="N76" s="10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15.75" customHeight="1">
      <c r="A77" s="7">
        <v>76</v>
      </c>
      <c r="B77" s="7" t="s">
        <v>88</v>
      </c>
      <c r="C77" s="8">
        <v>1000</v>
      </c>
      <c r="D77" s="8">
        <v>1000</v>
      </c>
      <c r="E77" s="8"/>
      <c r="F77" s="8"/>
      <c r="G77" s="8"/>
      <c r="H77" s="8"/>
      <c r="I77" s="8"/>
      <c r="J77" s="8"/>
      <c r="K77" s="8"/>
      <c r="L77" s="8"/>
      <c r="M77" s="9">
        <f t="shared" si="0"/>
        <v>2000</v>
      </c>
      <c r="N77" s="10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ht="15.75" customHeight="1">
      <c r="A78" s="7">
        <v>77</v>
      </c>
      <c r="B78" s="7" t="s">
        <v>89</v>
      </c>
      <c r="C78" s="8">
        <v>55000</v>
      </c>
      <c r="D78" s="8">
        <v>55000</v>
      </c>
      <c r="E78" s="8"/>
      <c r="F78" s="8"/>
      <c r="G78" s="8"/>
      <c r="H78" s="8"/>
      <c r="I78" s="8"/>
      <c r="J78" s="8"/>
      <c r="K78" s="8"/>
      <c r="L78" s="8"/>
      <c r="M78" s="9">
        <f t="shared" si="0"/>
        <v>110000</v>
      </c>
      <c r="N78" s="10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15.75" customHeight="1">
      <c r="A79" s="7">
        <v>78</v>
      </c>
      <c r="B79" s="7" t="s">
        <v>90</v>
      </c>
      <c r="C79" s="8">
        <v>100000</v>
      </c>
      <c r="D79" s="8">
        <v>50000</v>
      </c>
      <c r="E79" s="8"/>
      <c r="F79" s="8"/>
      <c r="G79" s="8"/>
      <c r="H79" s="8"/>
      <c r="I79" s="8"/>
      <c r="J79" s="8"/>
      <c r="K79" s="8"/>
      <c r="L79" s="8">
        <v>30000</v>
      </c>
      <c r="M79" s="9">
        <f t="shared" si="0"/>
        <v>180000</v>
      </c>
      <c r="N79" s="10" t="s">
        <v>91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15.75" customHeight="1">
      <c r="A80" s="7">
        <v>79</v>
      </c>
      <c r="B80" s="7" t="s">
        <v>92</v>
      </c>
      <c r="C80" s="8">
        <v>10000</v>
      </c>
      <c r="D80" s="8">
        <v>1000</v>
      </c>
      <c r="E80" s="8"/>
      <c r="F80" s="8"/>
      <c r="G80" s="8"/>
      <c r="H80" s="8"/>
      <c r="I80" s="8"/>
      <c r="J80" s="8"/>
      <c r="K80" s="8"/>
      <c r="L80" s="8"/>
      <c r="M80" s="9">
        <f t="shared" si="0"/>
        <v>11000</v>
      </c>
      <c r="N80" s="10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15.75" customHeight="1">
      <c r="A81" s="7">
        <v>80</v>
      </c>
      <c r="B81" s="7" t="s">
        <v>93</v>
      </c>
      <c r="C81" s="8">
        <v>1350</v>
      </c>
      <c r="D81" s="8">
        <v>1150</v>
      </c>
      <c r="E81" s="8"/>
      <c r="F81" s="8"/>
      <c r="G81" s="8"/>
      <c r="H81" s="8"/>
      <c r="I81" s="8"/>
      <c r="J81" s="8"/>
      <c r="K81" s="8"/>
      <c r="L81" s="8"/>
      <c r="M81" s="9">
        <f t="shared" si="0"/>
        <v>2500</v>
      </c>
      <c r="N81" s="10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ht="15.75" customHeight="1">
      <c r="A82" s="7">
        <v>81</v>
      </c>
      <c r="B82" s="7" t="s">
        <v>94</v>
      </c>
      <c r="C82" s="8"/>
      <c r="D82" s="8">
        <v>1500</v>
      </c>
      <c r="E82" s="8"/>
      <c r="F82" s="8"/>
      <c r="G82" s="8"/>
      <c r="H82" s="8"/>
      <c r="I82" s="8"/>
      <c r="J82" s="8"/>
      <c r="K82" s="8"/>
      <c r="L82" s="8"/>
      <c r="M82" s="9">
        <f t="shared" si="0"/>
        <v>1500</v>
      </c>
      <c r="N82" s="10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15.75" customHeight="1">
      <c r="A83" s="7">
        <v>82</v>
      </c>
      <c r="B83" s="7" t="s">
        <v>95</v>
      </c>
      <c r="C83" s="8"/>
      <c r="D83" s="8">
        <v>3000</v>
      </c>
      <c r="E83" s="8"/>
      <c r="F83" s="8"/>
      <c r="G83" s="8"/>
      <c r="H83" s="8"/>
      <c r="I83" s="8"/>
      <c r="J83" s="8"/>
      <c r="K83" s="8"/>
      <c r="L83" s="8"/>
      <c r="M83" s="9">
        <f t="shared" si="0"/>
        <v>3000</v>
      </c>
      <c r="N83" s="10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15.75" customHeight="1">
      <c r="A84" s="7">
        <v>83</v>
      </c>
      <c r="B84" s="7" t="s">
        <v>96</v>
      </c>
      <c r="C84" s="8">
        <v>1500</v>
      </c>
      <c r="D84" s="8">
        <v>1500</v>
      </c>
      <c r="E84" s="8"/>
      <c r="F84" s="8"/>
      <c r="G84" s="8"/>
      <c r="H84" s="8"/>
      <c r="I84" s="8"/>
      <c r="J84" s="8"/>
      <c r="K84" s="8"/>
      <c r="L84" s="8"/>
      <c r="M84" s="9">
        <f t="shared" si="0"/>
        <v>3000</v>
      </c>
      <c r="N84" s="10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15.75" customHeight="1">
      <c r="A85" s="7">
        <v>84</v>
      </c>
      <c r="B85" s="7" t="s">
        <v>97</v>
      </c>
      <c r="C85" s="8"/>
      <c r="D85" s="8">
        <v>10000</v>
      </c>
      <c r="E85" s="8"/>
      <c r="F85" s="8"/>
      <c r="G85" s="8"/>
      <c r="H85" s="8"/>
      <c r="I85" s="8"/>
      <c r="J85" s="8"/>
      <c r="K85" s="8"/>
      <c r="L85" s="8"/>
      <c r="M85" s="9">
        <f t="shared" si="0"/>
        <v>10000</v>
      </c>
      <c r="N85" s="10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15.75" customHeight="1">
      <c r="A86" s="7">
        <v>85</v>
      </c>
      <c r="B86" s="7" t="s">
        <v>98</v>
      </c>
      <c r="C86" s="8">
        <v>5750</v>
      </c>
      <c r="D86" s="8">
        <v>5750</v>
      </c>
      <c r="E86" s="8"/>
      <c r="F86" s="8"/>
      <c r="G86" s="8"/>
      <c r="H86" s="8"/>
      <c r="I86" s="8"/>
      <c r="J86" s="8"/>
      <c r="K86" s="8"/>
      <c r="L86" s="8"/>
      <c r="M86" s="9">
        <f t="shared" si="0"/>
        <v>11500</v>
      </c>
      <c r="N86" s="10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15.75" customHeight="1">
      <c r="A87" s="7">
        <v>86</v>
      </c>
      <c r="B87" s="7" t="s">
        <v>99</v>
      </c>
      <c r="C87" s="8">
        <v>30000</v>
      </c>
      <c r="D87" s="8">
        <v>10000</v>
      </c>
      <c r="E87" s="8"/>
      <c r="F87" s="8">
        <v>10000</v>
      </c>
      <c r="G87" s="8"/>
      <c r="H87" s="8"/>
      <c r="I87" s="8"/>
      <c r="J87" s="8"/>
      <c r="K87" s="8"/>
      <c r="L87" s="8"/>
      <c r="M87" s="9">
        <f t="shared" si="0"/>
        <v>50000</v>
      </c>
      <c r="N87" s="10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15.75" customHeight="1">
      <c r="A88" s="7">
        <v>87</v>
      </c>
      <c r="B88" s="7" t="s">
        <v>100</v>
      </c>
      <c r="C88" s="8">
        <v>2600</v>
      </c>
      <c r="D88" s="8">
        <v>2600</v>
      </c>
      <c r="E88" s="8"/>
      <c r="F88" s="8"/>
      <c r="G88" s="8"/>
      <c r="H88" s="8"/>
      <c r="I88" s="8"/>
      <c r="J88" s="8"/>
      <c r="K88" s="8"/>
      <c r="L88" s="8"/>
      <c r="M88" s="9">
        <f t="shared" si="0"/>
        <v>5200</v>
      </c>
      <c r="N88" s="10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15.75" customHeight="1">
      <c r="A89" s="7">
        <v>88</v>
      </c>
      <c r="B89" s="7" t="s">
        <v>101</v>
      </c>
      <c r="C89" s="8">
        <v>50000</v>
      </c>
      <c r="D89" s="8">
        <v>50000</v>
      </c>
      <c r="E89" s="8"/>
      <c r="F89" s="8"/>
      <c r="G89" s="8"/>
      <c r="H89" s="8"/>
      <c r="I89" s="8"/>
      <c r="J89" s="8"/>
      <c r="K89" s="8"/>
      <c r="L89" s="8"/>
      <c r="M89" s="9">
        <f t="shared" si="0"/>
        <v>100000</v>
      </c>
      <c r="N89" s="10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15.75" customHeight="1">
      <c r="A90" s="7">
        <v>89</v>
      </c>
      <c r="B90" s="7" t="s">
        <v>102</v>
      </c>
      <c r="C90" s="8">
        <v>100000</v>
      </c>
      <c r="D90" s="8"/>
      <c r="E90" s="8"/>
      <c r="F90" s="8"/>
      <c r="G90" s="8"/>
      <c r="H90" s="8"/>
      <c r="I90" s="8"/>
      <c r="J90" s="8"/>
      <c r="K90" s="8"/>
      <c r="L90" s="8"/>
      <c r="M90" s="9">
        <f t="shared" si="0"/>
        <v>100000</v>
      </c>
      <c r="N90" s="10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15.75" customHeight="1">
      <c r="A91" s="7">
        <v>90</v>
      </c>
      <c r="B91" s="7" t="s">
        <v>103</v>
      </c>
      <c r="C91" s="8"/>
      <c r="D91" s="8">
        <v>50000</v>
      </c>
      <c r="E91" s="8"/>
      <c r="F91" s="8"/>
      <c r="G91" s="8"/>
      <c r="H91" s="8"/>
      <c r="I91" s="8"/>
      <c r="J91" s="8"/>
      <c r="K91" s="8"/>
      <c r="L91" s="8"/>
      <c r="M91" s="9">
        <f t="shared" si="0"/>
        <v>50000</v>
      </c>
      <c r="N91" s="10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15.75" customHeight="1">
      <c r="A92" s="7">
        <v>91</v>
      </c>
      <c r="B92" s="7" t="s">
        <v>104</v>
      </c>
      <c r="C92" s="8"/>
      <c r="D92" s="11">
        <v>2000</v>
      </c>
      <c r="E92" s="8"/>
      <c r="F92" s="8"/>
      <c r="G92" s="8"/>
      <c r="H92" s="8"/>
      <c r="I92" s="8"/>
      <c r="J92" s="8"/>
      <c r="K92" s="8"/>
      <c r="L92" s="8"/>
      <c r="M92" s="9">
        <f t="shared" si="0"/>
        <v>2000</v>
      </c>
      <c r="N92" s="10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15.75" customHeight="1">
      <c r="A93" s="7">
        <v>92</v>
      </c>
      <c r="B93" s="7" t="s">
        <v>105</v>
      </c>
      <c r="C93" s="8"/>
      <c r="D93" s="8"/>
      <c r="E93" s="8"/>
      <c r="F93" s="8">
        <v>10000</v>
      </c>
      <c r="G93" s="8"/>
      <c r="H93" s="8"/>
      <c r="I93" s="8"/>
      <c r="J93" s="8"/>
      <c r="K93" s="8"/>
      <c r="L93" s="8"/>
      <c r="M93" s="9">
        <f t="shared" si="0"/>
        <v>10000</v>
      </c>
      <c r="N93" s="10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15.75" customHeight="1">
      <c r="A94" s="7">
        <v>93</v>
      </c>
      <c r="B94" s="7" t="s">
        <v>106</v>
      </c>
      <c r="C94" s="8"/>
      <c r="D94" s="8">
        <v>200000</v>
      </c>
      <c r="E94" s="8"/>
      <c r="F94" s="8"/>
      <c r="G94" s="8"/>
      <c r="H94" s="8"/>
      <c r="I94" s="8"/>
      <c r="J94" s="8"/>
      <c r="K94" s="8"/>
      <c r="L94" s="8"/>
      <c r="M94" s="9">
        <f t="shared" si="0"/>
        <v>200000</v>
      </c>
      <c r="N94" s="10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15.75" customHeight="1">
      <c r="A95" s="7">
        <v>94</v>
      </c>
      <c r="B95" s="7" t="s">
        <v>107</v>
      </c>
      <c r="C95" s="8">
        <v>10000</v>
      </c>
      <c r="D95" s="8">
        <v>5000</v>
      </c>
      <c r="E95" s="8"/>
      <c r="F95" s="8"/>
      <c r="G95" s="8"/>
      <c r="H95" s="8"/>
      <c r="I95" s="8"/>
      <c r="J95" s="8"/>
      <c r="K95" s="8"/>
      <c r="L95" s="8"/>
      <c r="M95" s="9">
        <f t="shared" si="0"/>
        <v>15000</v>
      </c>
      <c r="N95" s="10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15.75" customHeight="1">
      <c r="A96" s="7">
        <v>95</v>
      </c>
      <c r="B96" s="7" t="s">
        <v>108</v>
      </c>
      <c r="C96" s="8"/>
      <c r="D96" s="8">
        <v>500</v>
      </c>
      <c r="E96" s="8"/>
      <c r="F96" s="8"/>
      <c r="G96" s="8"/>
      <c r="H96" s="8"/>
      <c r="I96" s="8"/>
      <c r="J96" s="8"/>
      <c r="K96" s="8"/>
      <c r="L96" s="8"/>
      <c r="M96" s="9">
        <f t="shared" si="0"/>
        <v>500</v>
      </c>
      <c r="N96" s="10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15.75" customHeight="1">
      <c r="A97" s="7">
        <v>96</v>
      </c>
      <c r="B97" s="7" t="s">
        <v>109</v>
      </c>
      <c r="C97" s="8">
        <v>2000</v>
      </c>
      <c r="D97" s="8">
        <v>2000</v>
      </c>
      <c r="E97" s="8"/>
      <c r="F97" s="8"/>
      <c r="G97" s="8">
        <v>1000</v>
      </c>
      <c r="H97" s="8"/>
      <c r="I97" s="8"/>
      <c r="J97" s="8"/>
      <c r="K97" s="8"/>
      <c r="L97" s="8"/>
      <c r="M97" s="9">
        <f t="shared" si="0"/>
        <v>5000</v>
      </c>
      <c r="N97" s="10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15.75" customHeight="1">
      <c r="A98" s="7">
        <v>97</v>
      </c>
      <c r="B98" s="7" t="s">
        <v>110</v>
      </c>
      <c r="C98" s="8">
        <v>8000</v>
      </c>
      <c r="D98" s="8">
        <v>2000</v>
      </c>
      <c r="E98" s="8"/>
      <c r="F98" s="8"/>
      <c r="G98" s="8"/>
      <c r="H98" s="8"/>
      <c r="I98" s="8"/>
      <c r="J98" s="8"/>
      <c r="K98" s="8"/>
      <c r="L98" s="8"/>
      <c r="M98" s="9">
        <f t="shared" si="0"/>
        <v>10000</v>
      </c>
      <c r="N98" s="10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5.75" customHeight="1">
      <c r="A99" s="7">
        <v>98</v>
      </c>
      <c r="B99" s="7" t="s">
        <v>111</v>
      </c>
      <c r="C99" s="8">
        <v>500</v>
      </c>
      <c r="D99" s="8">
        <v>500</v>
      </c>
      <c r="E99" s="8"/>
      <c r="F99" s="8"/>
      <c r="G99" s="8"/>
      <c r="H99" s="8"/>
      <c r="I99" s="8"/>
      <c r="J99" s="8"/>
      <c r="K99" s="8"/>
      <c r="L99" s="8"/>
      <c r="M99" s="9">
        <f t="shared" si="0"/>
        <v>1000</v>
      </c>
      <c r="N99" s="10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5.75" customHeight="1">
      <c r="A100" s="7">
        <v>99</v>
      </c>
      <c r="B100" s="7" t="s">
        <v>112</v>
      </c>
      <c r="C100" s="8">
        <v>2500</v>
      </c>
      <c r="D100" s="8">
        <v>2500</v>
      </c>
      <c r="E100" s="8"/>
      <c r="F100" s="8"/>
      <c r="G100" s="8"/>
      <c r="H100" s="8"/>
      <c r="I100" s="8"/>
      <c r="J100" s="8"/>
      <c r="K100" s="8"/>
      <c r="L100" s="8"/>
      <c r="M100" s="9">
        <f t="shared" si="0"/>
        <v>5000</v>
      </c>
      <c r="N100" s="10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15.75" customHeight="1">
      <c r="A101" s="7">
        <v>100</v>
      </c>
      <c r="B101" s="7" t="s">
        <v>113</v>
      </c>
      <c r="C101" s="8"/>
      <c r="D101" s="8">
        <v>1000</v>
      </c>
      <c r="E101" s="8"/>
      <c r="F101" s="8"/>
      <c r="G101" s="8"/>
      <c r="H101" s="8"/>
      <c r="I101" s="8"/>
      <c r="J101" s="8"/>
      <c r="K101" s="8"/>
      <c r="L101" s="8"/>
      <c r="M101" s="9">
        <f t="shared" si="0"/>
        <v>1000</v>
      </c>
      <c r="N101" s="10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15.75" customHeight="1">
      <c r="A102" s="7">
        <v>101</v>
      </c>
      <c r="B102" s="7" t="s">
        <v>114</v>
      </c>
      <c r="C102" s="8"/>
      <c r="D102" s="8">
        <v>20000</v>
      </c>
      <c r="E102" s="8"/>
      <c r="F102" s="8"/>
      <c r="G102" s="8"/>
      <c r="H102" s="8"/>
      <c r="I102" s="8"/>
      <c r="J102" s="8"/>
      <c r="K102" s="8">
        <v>100000</v>
      </c>
      <c r="L102" s="8"/>
      <c r="M102" s="9">
        <f t="shared" si="0"/>
        <v>120000</v>
      </c>
      <c r="N102" s="10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15.75" customHeight="1">
      <c r="A103" s="7">
        <v>102</v>
      </c>
      <c r="B103" s="7" t="s">
        <v>115</v>
      </c>
      <c r="C103" s="8"/>
      <c r="D103" s="8">
        <v>2000</v>
      </c>
      <c r="E103" s="8"/>
      <c r="F103" s="8"/>
      <c r="G103" s="8"/>
      <c r="H103" s="8"/>
      <c r="I103" s="8"/>
      <c r="J103" s="8"/>
      <c r="K103" s="8"/>
      <c r="L103" s="8"/>
      <c r="M103" s="9">
        <f t="shared" si="0"/>
        <v>2000</v>
      </c>
      <c r="N103" s="10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5.75" customHeight="1">
      <c r="A104" s="7">
        <v>103</v>
      </c>
      <c r="B104" s="7" t="s">
        <v>116</v>
      </c>
      <c r="C104" s="8">
        <v>2000</v>
      </c>
      <c r="D104" s="8"/>
      <c r="E104" s="8"/>
      <c r="F104" s="8"/>
      <c r="G104" s="8"/>
      <c r="H104" s="8"/>
      <c r="I104" s="8"/>
      <c r="J104" s="8"/>
      <c r="K104" s="8"/>
      <c r="L104" s="8"/>
      <c r="M104" s="9">
        <f t="shared" si="0"/>
        <v>2000</v>
      </c>
      <c r="N104" s="10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15.75" customHeight="1">
      <c r="A105" s="18">
        <v>104</v>
      </c>
      <c r="B105" s="7" t="s">
        <v>117</v>
      </c>
      <c r="C105" s="8">
        <v>2000</v>
      </c>
      <c r="D105" s="8"/>
      <c r="E105" s="8"/>
      <c r="F105" s="8"/>
      <c r="G105" s="8"/>
      <c r="H105" s="8"/>
      <c r="I105" s="8"/>
      <c r="J105" s="8"/>
      <c r="K105" s="8"/>
      <c r="L105" s="8"/>
      <c r="M105" s="9">
        <f t="shared" si="0"/>
        <v>2000</v>
      </c>
      <c r="N105" s="10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15.75" customHeight="1">
      <c r="A106" s="7">
        <v>105</v>
      </c>
      <c r="B106" s="7" t="s">
        <v>118</v>
      </c>
      <c r="C106" s="8">
        <v>2000</v>
      </c>
      <c r="D106" s="8"/>
      <c r="E106" s="8"/>
      <c r="F106" s="8"/>
      <c r="G106" s="8"/>
      <c r="H106" s="8"/>
      <c r="I106" s="8"/>
      <c r="J106" s="8"/>
      <c r="K106" s="8"/>
      <c r="L106" s="8"/>
      <c r="M106" s="9">
        <f t="shared" si="0"/>
        <v>2000</v>
      </c>
      <c r="N106" s="10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15.75" customHeight="1">
      <c r="A107" s="7">
        <v>106</v>
      </c>
      <c r="B107" s="7" t="s">
        <v>119</v>
      </c>
      <c r="C107" s="8"/>
      <c r="D107" s="8">
        <v>4000</v>
      </c>
      <c r="E107" s="8"/>
      <c r="F107" s="8"/>
      <c r="G107" s="8"/>
      <c r="H107" s="8"/>
      <c r="I107" s="8"/>
      <c r="J107" s="8"/>
      <c r="K107" s="8"/>
      <c r="L107" s="8"/>
      <c r="M107" s="9">
        <f t="shared" si="0"/>
        <v>4000</v>
      </c>
      <c r="N107" s="10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15.75" customHeight="1">
      <c r="A108" s="7">
        <v>107</v>
      </c>
      <c r="B108" s="7" t="s">
        <v>120</v>
      </c>
      <c r="C108" s="8">
        <v>500</v>
      </c>
      <c r="D108" s="8">
        <v>500</v>
      </c>
      <c r="E108" s="8"/>
      <c r="F108" s="8"/>
      <c r="G108" s="8"/>
      <c r="H108" s="8"/>
      <c r="I108" s="8"/>
      <c r="J108" s="8"/>
      <c r="K108" s="8"/>
      <c r="L108" s="8"/>
      <c r="M108" s="9">
        <f t="shared" si="0"/>
        <v>1000</v>
      </c>
      <c r="N108" s="10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15.75" customHeight="1">
      <c r="A109" s="7">
        <v>108</v>
      </c>
      <c r="B109" s="7" t="s">
        <v>121</v>
      </c>
      <c r="C109" s="8"/>
      <c r="D109" s="8">
        <v>100000</v>
      </c>
      <c r="E109" s="8"/>
      <c r="F109" s="8"/>
      <c r="G109" s="8"/>
      <c r="H109" s="8"/>
      <c r="I109" s="8"/>
      <c r="J109" s="8"/>
      <c r="K109" s="8"/>
      <c r="L109" s="8"/>
      <c r="M109" s="9">
        <f t="shared" si="0"/>
        <v>100000</v>
      </c>
      <c r="N109" s="10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5.75" customHeight="1">
      <c r="A110" s="7">
        <v>109</v>
      </c>
      <c r="B110" s="7" t="s">
        <v>122</v>
      </c>
      <c r="C110" s="8">
        <v>1500</v>
      </c>
      <c r="D110" s="8">
        <v>1500</v>
      </c>
      <c r="E110" s="8"/>
      <c r="F110" s="8"/>
      <c r="G110" s="8"/>
      <c r="H110" s="8"/>
      <c r="I110" s="8"/>
      <c r="J110" s="8"/>
      <c r="K110" s="8"/>
      <c r="L110" s="8"/>
      <c r="M110" s="9">
        <f t="shared" si="0"/>
        <v>3000</v>
      </c>
      <c r="N110" s="10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15.75" customHeight="1">
      <c r="A111" s="7">
        <v>110</v>
      </c>
      <c r="B111" s="7" t="s">
        <v>123</v>
      </c>
      <c r="C111" s="8"/>
      <c r="D111" s="8">
        <v>1000</v>
      </c>
      <c r="E111" s="8"/>
      <c r="F111" s="8"/>
      <c r="G111" s="8"/>
      <c r="H111" s="8"/>
      <c r="I111" s="8"/>
      <c r="J111" s="8"/>
      <c r="K111" s="8"/>
      <c r="L111" s="8"/>
      <c r="M111" s="9">
        <f t="shared" si="0"/>
        <v>1000</v>
      </c>
      <c r="N111" s="10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5.75" customHeight="1">
      <c r="A112" s="7">
        <v>111</v>
      </c>
      <c r="B112" s="7" t="s">
        <v>124</v>
      </c>
      <c r="C112" s="8">
        <v>1000</v>
      </c>
      <c r="D112" s="8"/>
      <c r="E112" s="8"/>
      <c r="F112" s="8"/>
      <c r="G112" s="8"/>
      <c r="H112" s="8"/>
      <c r="I112" s="8"/>
      <c r="J112" s="8"/>
      <c r="K112" s="8"/>
      <c r="L112" s="8"/>
      <c r="M112" s="9">
        <f t="shared" si="0"/>
        <v>1000</v>
      </c>
      <c r="N112" s="10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5.75" customHeight="1">
      <c r="A113" s="7">
        <v>112</v>
      </c>
      <c r="B113" s="7" t="s">
        <v>125</v>
      </c>
      <c r="C113" s="8"/>
      <c r="D113" s="8">
        <v>6000</v>
      </c>
      <c r="E113" s="8"/>
      <c r="F113" s="8"/>
      <c r="G113" s="8"/>
      <c r="H113" s="8"/>
      <c r="I113" s="8"/>
      <c r="J113" s="8"/>
      <c r="K113" s="8"/>
      <c r="L113" s="8"/>
      <c r="M113" s="9">
        <f t="shared" si="0"/>
        <v>6000</v>
      </c>
      <c r="N113" s="10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5.75" customHeight="1">
      <c r="A114" s="7">
        <v>113</v>
      </c>
      <c r="B114" s="7" t="s">
        <v>126</v>
      </c>
      <c r="C114" s="8"/>
      <c r="D114" s="8"/>
      <c r="E114" s="8"/>
      <c r="F114" s="8">
        <v>10000</v>
      </c>
      <c r="G114" s="8"/>
      <c r="H114" s="8"/>
      <c r="I114" s="8"/>
      <c r="J114" s="8"/>
      <c r="K114" s="8"/>
      <c r="L114" s="8"/>
      <c r="M114" s="9">
        <f t="shared" si="0"/>
        <v>10000</v>
      </c>
      <c r="N114" s="10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15.75" customHeight="1">
      <c r="A115" s="7">
        <v>114</v>
      </c>
      <c r="B115" s="7" t="s">
        <v>127</v>
      </c>
      <c r="C115" s="8"/>
      <c r="D115" s="8">
        <v>20000</v>
      </c>
      <c r="E115" s="8"/>
      <c r="F115" s="8"/>
      <c r="G115" s="8"/>
      <c r="H115" s="8"/>
      <c r="I115" s="8"/>
      <c r="J115" s="8"/>
      <c r="K115" s="8"/>
      <c r="L115" s="8"/>
      <c r="M115" s="9">
        <f t="shared" si="0"/>
        <v>20000</v>
      </c>
      <c r="N115" s="10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15.75" customHeight="1">
      <c r="A116" s="7">
        <v>115</v>
      </c>
      <c r="B116" s="7" t="s">
        <v>128</v>
      </c>
      <c r="C116" s="8"/>
      <c r="D116" s="8"/>
      <c r="E116" s="8"/>
      <c r="F116" s="8">
        <v>10000</v>
      </c>
      <c r="G116" s="8"/>
      <c r="H116" s="8"/>
      <c r="I116" s="8"/>
      <c r="J116" s="8"/>
      <c r="K116" s="8"/>
      <c r="L116" s="8"/>
      <c r="M116" s="9">
        <f t="shared" si="0"/>
        <v>10000</v>
      </c>
      <c r="N116" s="10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15.75" customHeight="1">
      <c r="A117" s="7">
        <v>116</v>
      </c>
      <c r="B117" s="6" t="s">
        <v>129</v>
      </c>
      <c r="C117" s="11">
        <v>5000</v>
      </c>
      <c r="D117" s="8">
        <v>5000</v>
      </c>
      <c r="E117" s="8"/>
      <c r="F117" s="8"/>
      <c r="G117" s="8"/>
      <c r="H117" s="8"/>
      <c r="I117" s="8"/>
      <c r="J117" s="8"/>
      <c r="K117" s="8"/>
      <c r="L117" s="8"/>
      <c r="M117" s="9">
        <f t="shared" si="0"/>
        <v>10000</v>
      </c>
      <c r="N117" s="10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5.75" customHeight="1">
      <c r="A118" s="7">
        <v>117</v>
      </c>
      <c r="B118" s="7" t="s">
        <v>130</v>
      </c>
      <c r="C118" s="8"/>
      <c r="D118" s="8">
        <v>1000</v>
      </c>
      <c r="E118" s="8"/>
      <c r="F118" s="8"/>
      <c r="G118" s="8"/>
      <c r="H118" s="8"/>
      <c r="I118" s="8"/>
      <c r="J118" s="8"/>
      <c r="K118" s="8"/>
      <c r="L118" s="8"/>
      <c r="M118" s="9">
        <f t="shared" si="0"/>
        <v>1000</v>
      </c>
      <c r="N118" s="10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5.75" customHeight="1">
      <c r="A119" s="7">
        <v>118</v>
      </c>
      <c r="B119" s="7" t="s">
        <v>131</v>
      </c>
      <c r="C119" s="8">
        <v>10000</v>
      </c>
      <c r="D119" s="8"/>
      <c r="E119" s="8"/>
      <c r="F119" s="8"/>
      <c r="G119" s="8"/>
      <c r="H119" s="8"/>
      <c r="I119" s="8"/>
      <c r="J119" s="8"/>
      <c r="K119" s="8"/>
      <c r="L119" s="8"/>
      <c r="M119" s="9">
        <f t="shared" si="0"/>
        <v>10000</v>
      </c>
      <c r="N119" s="10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5.75" customHeight="1">
      <c r="A120" s="7">
        <v>119</v>
      </c>
      <c r="B120" s="7" t="s">
        <v>132</v>
      </c>
      <c r="C120" s="8"/>
      <c r="D120" s="8">
        <v>4000</v>
      </c>
      <c r="E120" s="8"/>
      <c r="F120" s="8"/>
      <c r="G120" s="8"/>
      <c r="H120" s="8"/>
      <c r="I120" s="8"/>
      <c r="J120" s="8"/>
      <c r="K120" s="8"/>
      <c r="L120" s="8"/>
      <c r="M120" s="9">
        <f t="shared" si="0"/>
        <v>4000</v>
      </c>
      <c r="N120" s="10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15.75" customHeight="1">
      <c r="A121" s="7">
        <v>120</v>
      </c>
      <c r="B121" s="7" t="s">
        <v>133</v>
      </c>
      <c r="C121" s="8"/>
      <c r="D121" s="8">
        <v>1000</v>
      </c>
      <c r="E121" s="8"/>
      <c r="F121" s="8"/>
      <c r="G121" s="8"/>
      <c r="H121" s="8"/>
      <c r="I121" s="8"/>
      <c r="J121" s="8"/>
      <c r="K121" s="8"/>
      <c r="L121" s="8"/>
      <c r="M121" s="9">
        <f t="shared" si="0"/>
        <v>1000</v>
      </c>
      <c r="N121" s="10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15.75" customHeight="1">
      <c r="A122" s="7">
        <v>121</v>
      </c>
      <c r="B122" s="7" t="s">
        <v>134</v>
      </c>
      <c r="C122" s="8"/>
      <c r="D122" s="8">
        <v>1000</v>
      </c>
      <c r="E122" s="8"/>
      <c r="F122" s="8"/>
      <c r="G122" s="8"/>
      <c r="H122" s="8"/>
      <c r="I122" s="8"/>
      <c r="J122" s="8"/>
      <c r="K122" s="8"/>
      <c r="L122" s="8"/>
      <c r="M122" s="9">
        <f t="shared" si="0"/>
        <v>1000</v>
      </c>
      <c r="N122" s="10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15.75" customHeight="1">
      <c r="A123" s="7">
        <v>122</v>
      </c>
      <c r="B123" s="7" t="s">
        <v>135</v>
      </c>
      <c r="C123" s="8"/>
      <c r="D123" s="8"/>
      <c r="E123" s="8"/>
      <c r="F123" s="8"/>
      <c r="G123" s="8"/>
      <c r="H123" s="8"/>
      <c r="I123" s="8"/>
      <c r="J123" s="8"/>
      <c r="K123" s="8">
        <v>5000</v>
      </c>
      <c r="L123" s="8"/>
      <c r="M123" s="9">
        <f t="shared" si="0"/>
        <v>5000</v>
      </c>
      <c r="N123" s="10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15.75" customHeight="1">
      <c r="A124" s="7">
        <v>123</v>
      </c>
      <c r="B124" s="7" t="s">
        <v>136</v>
      </c>
      <c r="C124" s="8">
        <v>10000</v>
      </c>
      <c r="D124" s="8"/>
      <c r="E124" s="8"/>
      <c r="F124" s="8"/>
      <c r="G124" s="8"/>
      <c r="H124" s="8"/>
      <c r="I124" s="8"/>
      <c r="J124" s="8"/>
      <c r="K124" s="8"/>
      <c r="L124" s="8"/>
      <c r="M124" s="9">
        <f t="shared" si="0"/>
        <v>10000</v>
      </c>
      <c r="N124" s="10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15.75" customHeight="1">
      <c r="A125" s="7">
        <v>124</v>
      </c>
      <c r="B125" s="7" t="s">
        <v>137</v>
      </c>
      <c r="C125" s="8">
        <v>1000</v>
      </c>
      <c r="D125" s="8"/>
      <c r="E125" s="8"/>
      <c r="F125" s="8"/>
      <c r="G125" s="8"/>
      <c r="H125" s="8"/>
      <c r="I125" s="8"/>
      <c r="J125" s="8"/>
      <c r="K125" s="8"/>
      <c r="L125" s="8"/>
      <c r="M125" s="9">
        <f t="shared" si="0"/>
        <v>1000</v>
      </c>
      <c r="N125" s="10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15.75" customHeight="1">
      <c r="A126" s="7">
        <v>125</v>
      </c>
      <c r="B126" s="7" t="s">
        <v>138</v>
      </c>
      <c r="C126" s="8">
        <v>8000</v>
      </c>
      <c r="D126" s="8"/>
      <c r="E126" s="8"/>
      <c r="F126" s="8"/>
      <c r="G126" s="8"/>
      <c r="H126" s="8"/>
      <c r="I126" s="8"/>
      <c r="J126" s="8"/>
      <c r="K126" s="8"/>
      <c r="L126" s="8"/>
      <c r="M126" s="9">
        <f t="shared" si="0"/>
        <v>8000</v>
      </c>
      <c r="N126" s="10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15.75" customHeight="1">
      <c r="A127" s="7">
        <v>126</v>
      </c>
      <c r="B127" s="7" t="s">
        <v>139</v>
      </c>
      <c r="C127" s="8"/>
      <c r="D127" s="8">
        <v>2000</v>
      </c>
      <c r="E127" s="8"/>
      <c r="F127" s="8"/>
      <c r="G127" s="8"/>
      <c r="H127" s="8"/>
      <c r="I127" s="8"/>
      <c r="J127" s="8"/>
      <c r="K127" s="8"/>
      <c r="L127" s="8"/>
      <c r="M127" s="9">
        <f t="shared" si="0"/>
        <v>2000</v>
      </c>
      <c r="N127" s="10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15.75" customHeight="1">
      <c r="A128" s="7">
        <v>127</v>
      </c>
      <c r="B128" s="7" t="s">
        <v>140</v>
      </c>
      <c r="C128" s="8"/>
      <c r="D128" s="8">
        <v>5000</v>
      </c>
      <c r="E128" s="8"/>
      <c r="F128" s="8"/>
      <c r="G128" s="8"/>
      <c r="H128" s="8"/>
      <c r="I128" s="8"/>
      <c r="J128" s="8"/>
      <c r="K128" s="11"/>
      <c r="L128" s="8"/>
      <c r="M128" s="9">
        <f t="shared" si="0"/>
        <v>5000</v>
      </c>
      <c r="N128" s="10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5.75" customHeight="1">
      <c r="A129" s="7">
        <v>128</v>
      </c>
      <c r="B129" s="7" t="s">
        <v>141</v>
      </c>
      <c r="C129" s="8">
        <v>5000</v>
      </c>
      <c r="D129" s="8">
        <v>2000</v>
      </c>
      <c r="E129" s="8"/>
      <c r="F129" s="8"/>
      <c r="G129" s="8"/>
      <c r="H129" s="8"/>
      <c r="I129" s="8"/>
      <c r="J129" s="8"/>
      <c r="K129" s="8"/>
      <c r="L129" s="8"/>
      <c r="M129" s="9">
        <f t="shared" si="0"/>
        <v>7000</v>
      </c>
      <c r="N129" s="10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15.75" customHeight="1">
      <c r="A130" s="7">
        <v>129</v>
      </c>
      <c r="B130" s="7" t="s">
        <v>142</v>
      </c>
      <c r="C130" s="8">
        <v>2500</v>
      </c>
      <c r="D130" s="8">
        <v>7500</v>
      </c>
      <c r="E130" s="8"/>
      <c r="F130" s="8"/>
      <c r="G130" s="8"/>
      <c r="H130" s="8"/>
      <c r="I130" s="8"/>
      <c r="J130" s="8"/>
      <c r="K130" s="8"/>
      <c r="L130" s="8"/>
      <c r="M130" s="9">
        <f t="shared" si="0"/>
        <v>10000</v>
      </c>
      <c r="N130" s="10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15.75" customHeight="1">
      <c r="A131" s="7">
        <v>130</v>
      </c>
      <c r="B131" s="7" t="s">
        <v>143</v>
      </c>
      <c r="C131" s="8"/>
      <c r="D131" s="8">
        <v>2000</v>
      </c>
      <c r="E131" s="8"/>
      <c r="F131" s="8"/>
      <c r="G131" s="8"/>
      <c r="H131" s="8"/>
      <c r="I131" s="8"/>
      <c r="J131" s="8"/>
      <c r="K131" s="8"/>
      <c r="L131" s="8"/>
      <c r="M131" s="9">
        <f t="shared" si="0"/>
        <v>2000</v>
      </c>
      <c r="N131" s="10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15.75" customHeight="1">
      <c r="A132" s="7">
        <v>131</v>
      </c>
      <c r="B132" s="7" t="s">
        <v>144</v>
      </c>
      <c r="C132" s="8">
        <v>500</v>
      </c>
      <c r="D132" s="8"/>
      <c r="E132" s="8"/>
      <c r="F132" s="8"/>
      <c r="G132" s="8"/>
      <c r="H132" s="8"/>
      <c r="I132" s="8"/>
      <c r="J132" s="8"/>
      <c r="K132" s="8"/>
      <c r="L132" s="8"/>
      <c r="M132" s="9">
        <f t="shared" si="0"/>
        <v>500</v>
      </c>
      <c r="N132" s="10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15.75" customHeight="1">
      <c r="A133" s="7">
        <v>132</v>
      </c>
      <c r="B133" s="7" t="s">
        <v>145</v>
      </c>
      <c r="C133" s="8">
        <v>65000</v>
      </c>
      <c r="D133" s="8"/>
      <c r="E133" s="8"/>
      <c r="F133" s="8"/>
      <c r="G133" s="8"/>
      <c r="H133" s="8"/>
      <c r="I133" s="8"/>
      <c r="J133" s="8"/>
      <c r="K133" s="8"/>
      <c r="L133" s="8"/>
      <c r="M133" s="9">
        <f t="shared" si="0"/>
        <v>65000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15.75" customHeight="1">
      <c r="A134" s="7">
        <v>133</v>
      </c>
      <c r="B134" s="7" t="s">
        <v>146</v>
      </c>
      <c r="C134" s="8">
        <v>500</v>
      </c>
      <c r="D134" s="8">
        <v>500</v>
      </c>
      <c r="E134" s="8"/>
      <c r="F134" s="8"/>
      <c r="G134" s="8"/>
      <c r="H134" s="8"/>
      <c r="I134" s="8"/>
      <c r="J134" s="8"/>
      <c r="K134" s="8"/>
      <c r="L134" s="8"/>
      <c r="M134" s="9">
        <f t="shared" si="0"/>
        <v>1000</v>
      </c>
      <c r="N134" s="10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15.75" customHeight="1">
      <c r="A135" s="7">
        <v>134</v>
      </c>
      <c r="B135" s="7" t="s">
        <v>147</v>
      </c>
      <c r="C135" s="8"/>
      <c r="D135" s="8">
        <v>1000</v>
      </c>
      <c r="E135" s="8"/>
      <c r="F135" s="8"/>
      <c r="G135" s="8"/>
      <c r="H135" s="8"/>
      <c r="I135" s="8"/>
      <c r="J135" s="8"/>
      <c r="K135" s="8"/>
      <c r="L135" s="8"/>
      <c r="M135" s="9">
        <f t="shared" si="0"/>
        <v>1000</v>
      </c>
      <c r="N135" s="10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15.75" customHeight="1">
      <c r="A136" s="7">
        <v>135</v>
      </c>
      <c r="B136" s="7" t="s">
        <v>148</v>
      </c>
      <c r="C136" s="8">
        <v>1000</v>
      </c>
      <c r="D136" s="8">
        <v>1000</v>
      </c>
      <c r="E136" s="8"/>
      <c r="F136" s="8">
        <v>3000</v>
      </c>
      <c r="G136" s="8"/>
      <c r="H136" s="8"/>
      <c r="I136" s="8"/>
      <c r="J136" s="8"/>
      <c r="K136" s="8"/>
      <c r="L136" s="8"/>
      <c r="M136" s="9">
        <f t="shared" si="0"/>
        <v>5000</v>
      </c>
      <c r="N136" s="10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15.75" customHeight="1">
      <c r="A137" s="7">
        <v>136</v>
      </c>
      <c r="B137" s="7" t="s">
        <v>149</v>
      </c>
      <c r="C137" s="8">
        <v>2500</v>
      </c>
      <c r="D137" s="8">
        <v>2500</v>
      </c>
      <c r="E137" s="8"/>
      <c r="F137" s="8"/>
      <c r="G137" s="8"/>
      <c r="H137" s="8"/>
      <c r="I137" s="8"/>
      <c r="J137" s="8"/>
      <c r="K137" s="8"/>
      <c r="L137" s="8"/>
      <c r="M137" s="9">
        <f t="shared" si="0"/>
        <v>5000</v>
      </c>
      <c r="N137" s="10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15.75" customHeight="1">
      <c r="A138" s="7">
        <v>137</v>
      </c>
      <c r="B138" s="7" t="s">
        <v>150</v>
      </c>
      <c r="C138" s="8">
        <v>1000</v>
      </c>
      <c r="D138" s="8"/>
      <c r="E138" s="8"/>
      <c r="F138" s="8"/>
      <c r="G138" s="8"/>
      <c r="H138" s="8"/>
      <c r="I138" s="8"/>
      <c r="J138" s="8"/>
      <c r="K138" s="8"/>
      <c r="L138" s="14"/>
      <c r="M138" s="9">
        <f t="shared" si="0"/>
        <v>1000</v>
      </c>
      <c r="N138" s="10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15.75" customHeight="1">
      <c r="A139" s="7">
        <v>138</v>
      </c>
      <c r="B139" s="7" t="s">
        <v>151</v>
      </c>
      <c r="C139" s="8"/>
      <c r="D139" s="8">
        <v>2000</v>
      </c>
      <c r="E139" s="8"/>
      <c r="F139" s="8"/>
      <c r="G139" s="8"/>
      <c r="H139" s="8"/>
      <c r="I139" s="8"/>
      <c r="J139" s="8"/>
      <c r="K139" s="8"/>
      <c r="L139" s="14"/>
      <c r="M139" s="9">
        <f t="shared" si="0"/>
        <v>2000</v>
      </c>
      <c r="N139" s="10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5.75" customHeight="1">
      <c r="A140" s="7">
        <v>139</v>
      </c>
      <c r="B140" s="7" t="s">
        <v>152</v>
      </c>
      <c r="C140" s="8">
        <v>1000</v>
      </c>
      <c r="D140" s="8">
        <v>1000</v>
      </c>
      <c r="E140" s="8"/>
      <c r="F140" s="8"/>
      <c r="G140" s="8"/>
      <c r="H140" s="8"/>
      <c r="I140" s="8"/>
      <c r="J140" s="8"/>
      <c r="K140" s="8"/>
      <c r="L140" s="14"/>
      <c r="M140" s="9">
        <f t="shared" si="0"/>
        <v>2000</v>
      </c>
      <c r="N140" s="10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5.75" customHeight="1">
      <c r="A141" s="7">
        <v>140</v>
      </c>
      <c r="B141" s="7" t="s">
        <v>153</v>
      </c>
      <c r="C141" s="8">
        <v>50000</v>
      </c>
      <c r="D141" s="8"/>
      <c r="E141" s="8"/>
      <c r="F141" s="8"/>
      <c r="G141" s="8"/>
      <c r="H141" s="8"/>
      <c r="I141" s="8"/>
      <c r="J141" s="8"/>
      <c r="K141" s="8"/>
      <c r="L141" s="14"/>
      <c r="M141" s="9">
        <f t="shared" si="0"/>
        <v>50000</v>
      </c>
      <c r="N141" s="10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5.75" customHeight="1">
      <c r="A142" s="7">
        <v>141</v>
      </c>
      <c r="B142" s="7" t="s">
        <v>154</v>
      </c>
      <c r="C142" s="8"/>
      <c r="D142" s="8">
        <v>1000</v>
      </c>
      <c r="E142" s="8"/>
      <c r="F142" s="8"/>
      <c r="G142" s="8"/>
      <c r="H142" s="8"/>
      <c r="I142" s="8"/>
      <c r="J142" s="8"/>
      <c r="K142" s="8"/>
      <c r="L142" s="14"/>
      <c r="M142" s="9">
        <f t="shared" si="0"/>
        <v>1000</v>
      </c>
      <c r="N142" s="10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5.75" customHeight="1">
      <c r="A143" s="7">
        <v>142</v>
      </c>
      <c r="B143" s="7" t="s">
        <v>155</v>
      </c>
      <c r="C143" s="8"/>
      <c r="D143" s="8">
        <v>200</v>
      </c>
      <c r="E143" s="8"/>
      <c r="F143" s="8"/>
      <c r="G143" s="8"/>
      <c r="H143" s="8"/>
      <c r="I143" s="8"/>
      <c r="J143" s="8"/>
      <c r="K143" s="8"/>
      <c r="L143" s="14"/>
      <c r="M143" s="9">
        <f t="shared" si="0"/>
        <v>200</v>
      </c>
      <c r="N143" s="10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5.75" customHeight="1">
      <c r="A144" s="7">
        <v>143</v>
      </c>
      <c r="B144" s="7" t="s">
        <v>156</v>
      </c>
      <c r="C144" s="8"/>
      <c r="D144" s="8"/>
      <c r="E144" s="8"/>
      <c r="F144" s="8"/>
      <c r="G144" s="8">
        <v>1000</v>
      </c>
      <c r="H144" s="8"/>
      <c r="I144" s="8"/>
      <c r="J144" s="8"/>
      <c r="K144" s="8"/>
      <c r="L144" s="14"/>
      <c r="M144" s="9">
        <f t="shared" si="0"/>
        <v>1000</v>
      </c>
      <c r="N144" s="10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15.75" customHeight="1">
      <c r="A145" s="7">
        <v>144</v>
      </c>
      <c r="B145" s="7" t="s">
        <v>157</v>
      </c>
      <c r="C145" s="8">
        <v>500</v>
      </c>
      <c r="D145" s="8"/>
      <c r="E145" s="8"/>
      <c r="F145" s="8"/>
      <c r="G145" s="8"/>
      <c r="H145" s="8"/>
      <c r="I145" s="8"/>
      <c r="J145" s="8"/>
      <c r="K145" s="8">
        <v>500</v>
      </c>
      <c r="L145" s="14"/>
      <c r="M145" s="9">
        <f t="shared" si="0"/>
        <v>1000</v>
      </c>
      <c r="N145" s="10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5.75" customHeight="1">
      <c r="A146" s="7">
        <v>145</v>
      </c>
      <c r="B146" s="7" t="s">
        <v>158</v>
      </c>
      <c r="C146" s="8">
        <v>2000</v>
      </c>
      <c r="D146" s="8"/>
      <c r="E146" s="8"/>
      <c r="F146" s="8"/>
      <c r="G146" s="8"/>
      <c r="H146" s="8"/>
      <c r="I146" s="8"/>
      <c r="J146" s="8"/>
      <c r="K146" s="8"/>
      <c r="L146" s="14"/>
      <c r="M146" s="9">
        <f t="shared" si="0"/>
        <v>2000</v>
      </c>
      <c r="N146" s="10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5.75" customHeight="1">
      <c r="A147" s="7">
        <v>146</v>
      </c>
      <c r="B147" s="7" t="s">
        <v>159</v>
      </c>
      <c r="C147" s="8"/>
      <c r="D147" s="8">
        <v>10000</v>
      </c>
      <c r="E147" s="8"/>
      <c r="F147" s="8"/>
      <c r="G147" s="8"/>
      <c r="H147" s="8"/>
      <c r="I147" s="8"/>
      <c r="J147" s="8"/>
      <c r="K147" s="8"/>
      <c r="L147" s="14"/>
      <c r="M147" s="9">
        <f t="shared" si="0"/>
        <v>10000</v>
      </c>
      <c r="N147" s="10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5.75" customHeight="1">
      <c r="A148" s="7">
        <v>147</v>
      </c>
      <c r="B148" s="7" t="s">
        <v>160</v>
      </c>
      <c r="C148" s="8"/>
      <c r="D148" s="8">
        <v>1000</v>
      </c>
      <c r="E148" s="8"/>
      <c r="F148" s="8"/>
      <c r="G148" s="8"/>
      <c r="H148" s="8"/>
      <c r="I148" s="8"/>
      <c r="J148" s="8"/>
      <c r="K148" s="8"/>
      <c r="L148" s="14"/>
      <c r="M148" s="9">
        <f t="shared" si="0"/>
        <v>1000</v>
      </c>
      <c r="N148" s="10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5.75" customHeight="1">
      <c r="A149" s="7">
        <v>148</v>
      </c>
      <c r="B149" s="7" t="s">
        <v>161</v>
      </c>
      <c r="C149" s="8"/>
      <c r="D149" s="8">
        <v>5000</v>
      </c>
      <c r="E149" s="8"/>
      <c r="F149" s="8"/>
      <c r="G149" s="8"/>
      <c r="H149" s="19"/>
      <c r="I149" s="8"/>
      <c r="J149" s="8"/>
      <c r="K149" s="8"/>
      <c r="L149" s="8"/>
      <c r="M149" s="9">
        <f t="shared" si="0"/>
        <v>5000</v>
      </c>
      <c r="N149" s="10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5.75" customHeight="1">
      <c r="A150" s="7">
        <v>149</v>
      </c>
      <c r="B150" s="7" t="s">
        <v>162</v>
      </c>
      <c r="C150" s="8"/>
      <c r="D150" s="8">
        <v>30000</v>
      </c>
      <c r="E150" s="8"/>
      <c r="F150" s="8"/>
      <c r="G150" s="8"/>
      <c r="H150" s="19"/>
      <c r="I150" s="8"/>
      <c r="J150" s="8"/>
      <c r="K150" s="8"/>
      <c r="L150" s="8"/>
      <c r="M150" s="9">
        <f t="shared" si="0"/>
        <v>30000</v>
      </c>
      <c r="N150" s="10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5.75" customHeight="1">
      <c r="A151" s="7">
        <v>150</v>
      </c>
      <c r="B151" s="7" t="s">
        <v>163</v>
      </c>
      <c r="C151" s="8">
        <v>130000</v>
      </c>
      <c r="D151" s="8">
        <v>20000</v>
      </c>
      <c r="E151" s="8"/>
      <c r="F151" s="8"/>
      <c r="G151" s="8"/>
      <c r="H151" s="19"/>
      <c r="I151" s="8"/>
      <c r="J151" s="8"/>
      <c r="K151" s="8"/>
      <c r="L151" s="8"/>
      <c r="M151" s="9">
        <f t="shared" si="0"/>
        <v>150000</v>
      </c>
      <c r="N151" s="10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5.75" customHeight="1">
      <c r="A152" s="7">
        <v>151</v>
      </c>
      <c r="B152" s="7" t="s">
        <v>164</v>
      </c>
      <c r="C152" s="8">
        <v>1000</v>
      </c>
      <c r="D152" s="8">
        <v>1000</v>
      </c>
      <c r="E152" s="8"/>
      <c r="F152" s="8"/>
      <c r="G152" s="8"/>
      <c r="H152" s="19"/>
      <c r="I152" s="8"/>
      <c r="J152" s="8"/>
      <c r="K152" s="8"/>
      <c r="L152" s="8"/>
      <c r="M152" s="9">
        <f t="shared" si="0"/>
        <v>2000</v>
      </c>
      <c r="N152" s="10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5.75" customHeight="1">
      <c r="A153" s="7">
        <v>152</v>
      </c>
      <c r="B153" s="7" t="s">
        <v>165</v>
      </c>
      <c r="C153" s="8"/>
      <c r="D153" s="8">
        <v>1000</v>
      </c>
      <c r="E153" s="8"/>
      <c r="F153" s="8"/>
      <c r="G153" s="8"/>
      <c r="H153" s="19"/>
      <c r="I153" s="8"/>
      <c r="J153" s="8"/>
      <c r="K153" s="8"/>
      <c r="L153" s="8"/>
      <c r="M153" s="9">
        <f t="shared" si="0"/>
        <v>1000</v>
      </c>
      <c r="N153" s="10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5.75" customHeight="1">
      <c r="A154" s="7">
        <v>153</v>
      </c>
      <c r="B154" s="7" t="s">
        <v>166</v>
      </c>
      <c r="C154" s="8"/>
      <c r="D154" s="8">
        <v>5000</v>
      </c>
      <c r="E154" s="8"/>
      <c r="F154" s="8"/>
      <c r="G154" s="8"/>
      <c r="H154" s="19"/>
      <c r="I154" s="8"/>
      <c r="J154" s="8"/>
      <c r="K154" s="8"/>
      <c r="L154" s="8"/>
      <c r="M154" s="9">
        <f t="shared" si="0"/>
        <v>5000</v>
      </c>
      <c r="N154" s="10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5.75" customHeight="1">
      <c r="A155" s="7">
        <v>154</v>
      </c>
      <c r="B155" s="7" t="s">
        <v>167</v>
      </c>
      <c r="C155" s="8">
        <v>500</v>
      </c>
      <c r="D155" s="8"/>
      <c r="E155" s="8"/>
      <c r="F155" s="8"/>
      <c r="G155" s="8"/>
      <c r="H155" s="19"/>
      <c r="I155" s="8"/>
      <c r="J155" s="8"/>
      <c r="K155" s="8"/>
      <c r="L155" s="8"/>
      <c r="M155" s="9">
        <f t="shared" si="0"/>
        <v>500</v>
      </c>
      <c r="N155" s="10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5.75" customHeight="1">
      <c r="A156" s="7">
        <v>155</v>
      </c>
      <c r="B156" s="7" t="s">
        <v>168</v>
      </c>
      <c r="C156" s="8"/>
      <c r="D156" s="8">
        <v>1000</v>
      </c>
      <c r="E156" s="8"/>
      <c r="F156" s="8"/>
      <c r="G156" s="8"/>
      <c r="H156" s="19"/>
      <c r="I156" s="8"/>
      <c r="J156" s="8"/>
      <c r="K156" s="8"/>
      <c r="L156" s="8"/>
      <c r="M156" s="9">
        <f t="shared" si="0"/>
        <v>1000</v>
      </c>
      <c r="N156" s="10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5.75" customHeight="1">
      <c r="A157" s="7">
        <v>156</v>
      </c>
      <c r="B157" s="7" t="s">
        <v>169</v>
      </c>
      <c r="C157" s="8"/>
      <c r="D157" s="8">
        <v>500</v>
      </c>
      <c r="E157" s="8"/>
      <c r="F157" s="8"/>
      <c r="G157" s="8"/>
      <c r="H157" s="19"/>
      <c r="I157" s="8"/>
      <c r="J157" s="8"/>
      <c r="K157" s="8"/>
      <c r="L157" s="8"/>
      <c r="M157" s="9">
        <f t="shared" si="0"/>
        <v>500</v>
      </c>
      <c r="N157" s="10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5.75" customHeight="1">
      <c r="A158" s="7">
        <v>157</v>
      </c>
      <c r="B158" s="7" t="s">
        <v>170</v>
      </c>
      <c r="C158" s="8"/>
      <c r="D158" s="8">
        <v>2000</v>
      </c>
      <c r="E158" s="8"/>
      <c r="F158" s="8"/>
      <c r="G158" s="8"/>
      <c r="H158" s="19"/>
      <c r="I158" s="8"/>
      <c r="J158" s="8"/>
      <c r="K158" s="8"/>
      <c r="L158" s="8"/>
      <c r="M158" s="9">
        <f t="shared" si="0"/>
        <v>2000</v>
      </c>
      <c r="N158" s="10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5.75" customHeight="1">
      <c r="A159" s="7">
        <v>158</v>
      </c>
      <c r="B159" s="7" t="s">
        <v>171</v>
      </c>
      <c r="C159" s="8"/>
      <c r="D159" s="8">
        <v>1000</v>
      </c>
      <c r="E159" s="8"/>
      <c r="F159" s="8"/>
      <c r="G159" s="8"/>
      <c r="H159" s="19"/>
      <c r="I159" s="8"/>
      <c r="J159" s="8"/>
      <c r="K159" s="8"/>
      <c r="L159" s="8"/>
      <c r="M159" s="9">
        <f t="shared" si="0"/>
        <v>1000</v>
      </c>
      <c r="N159" s="10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5.75" customHeight="1">
      <c r="A160" s="7">
        <v>159</v>
      </c>
      <c r="B160" s="7" t="s">
        <v>172</v>
      </c>
      <c r="C160" s="8"/>
      <c r="D160" s="8">
        <v>1000</v>
      </c>
      <c r="E160" s="8"/>
      <c r="F160" s="8"/>
      <c r="G160" s="8"/>
      <c r="H160" s="19"/>
      <c r="I160" s="8"/>
      <c r="J160" s="8"/>
      <c r="K160" s="8"/>
      <c r="L160" s="8"/>
      <c r="M160" s="9">
        <f t="shared" si="0"/>
        <v>1000</v>
      </c>
      <c r="N160" s="10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5.75" customHeight="1">
      <c r="A161" s="7">
        <v>160</v>
      </c>
      <c r="B161" s="7" t="s">
        <v>173</v>
      </c>
      <c r="C161" s="8"/>
      <c r="D161" s="8">
        <v>1000</v>
      </c>
      <c r="E161" s="8"/>
      <c r="F161" s="8"/>
      <c r="G161" s="8"/>
      <c r="H161" s="19"/>
      <c r="I161" s="8"/>
      <c r="J161" s="8"/>
      <c r="K161" s="8"/>
      <c r="L161" s="8"/>
      <c r="M161" s="9">
        <f t="shared" si="0"/>
        <v>1000</v>
      </c>
      <c r="N161" s="10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5.75" customHeight="1">
      <c r="A162" s="7">
        <v>161</v>
      </c>
      <c r="B162" s="7" t="s">
        <v>174</v>
      </c>
      <c r="C162" s="8"/>
      <c r="D162" s="8"/>
      <c r="E162" s="8"/>
      <c r="F162" s="8"/>
      <c r="G162" s="8"/>
      <c r="H162" s="19"/>
      <c r="I162" s="8"/>
      <c r="J162" s="8"/>
      <c r="K162" s="8">
        <v>40000</v>
      </c>
      <c r="L162" s="8"/>
      <c r="M162" s="9">
        <f t="shared" si="0"/>
        <v>40000</v>
      </c>
      <c r="N162" s="10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5.75" customHeight="1">
      <c r="A163" s="7">
        <v>162</v>
      </c>
      <c r="B163" s="7" t="s">
        <v>175</v>
      </c>
      <c r="C163" s="8">
        <v>570000</v>
      </c>
      <c r="D163" s="8"/>
      <c r="E163" s="8"/>
      <c r="F163" s="8"/>
      <c r="G163" s="8"/>
      <c r="H163" s="19"/>
      <c r="I163" s="8"/>
      <c r="J163" s="8"/>
      <c r="K163" s="8"/>
      <c r="L163" s="8"/>
      <c r="M163" s="9">
        <f t="shared" si="0"/>
        <v>570000</v>
      </c>
      <c r="N163" s="10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5.75" customHeight="1">
      <c r="A164" s="7">
        <v>163</v>
      </c>
      <c r="B164" s="7" t="s">
        <v>176</v>
      </c>
      <c r="C164" s="8">
        <v>500</v>
      </c>
      <c r="D164" s="8">
        <v>500</v>
      </c>
      <c r="E164" s="8"/>
      <c r="F164" s="8"/>
      <c r="G164" s="8"/>
      <c r="H164" s="19"/>
      <c r="I164" s="8"/>
      <c r="J164" s="8"/>
      <c r="K164" s="8"/>
      <c r="L164" s="8"/>
      <c r="M164" s="9">
        <f t="shared" si="0"/>
        <v>1000</v>
      </c>
      <c r="N164" s="10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5.75" customHeight="1">
      <c r="A165" s="7">
        <v>164</v>
      </c>
      <c r="B165" s="7" t="s">
        <v>177</v>
      </c>
      <c r="C165" s="8"/>
      <c r="D165" s="8"/>
      <c r="E165" s="8"/>
      <c r="F165" s="8">
        <v>10000</v>
      </c>
      <c r="G165" s="8"/>
      <c r="H165" s="19"/>
      <c r="I165" s="8"/>
      <c r="J165" s="8"/>
      <c r="K165" s="8"/>
      <c r="L165" s="8"/>
      <c r="M165" s="9">
        <f t="shared" si="0"/>
        <v>10000</v>
      </c>
      <c r="N165" s="10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5.75" customHeight="1">
      <c r="A166" s="7">
        <v>165</v>
      </c>
      <c r="B166" s="7" t="s">
        <v>178</v>
      </c>
      <c r="C166" s="8"/>
      <c r="D166" s="8">
        <v>5000</v>
      </c>
      <c r="E166" s="8"/>
      <c r="F166" s="8"/>
      <c r="G166" s="8"/>
      <c r="H166" s="19"/>
      <c r="I166" s="8"/>
      <c r="J166" s="8"/>
      <c r="K166" s="8"/>
      <c r="L166" s="8"/>
      <c r="M166" s="9">
        <f t="shared" si="0"/>
        <v>5000</v>
      </c>
      <c r="N166" s="10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5.75" customHeight="1">
      <c r="A167" s="7">
        <v>166</v>
      </c>
      <c r="B167" s="7" t="s">
        <v>179</v>
      </c>
      <c r="C167" s="8"/>
      <c r="D167" s="8">
        <v>1000</v>
      </c>
      <c r="E167" s="8"/>
      <c r="F167" s="8"/>
      <c r="G167" s="8"/>
      <c r="H167" s="19"/>
      <c r="I167" s="8"/>
      <c r="J167" s="8"/>
      <c r="K167" s="8"/>
      <c r="L167" s="8"/>
      <c r="M167" s="9">
        <f t="shared" si="0"/>
        <v>1000</v>
      </c>
      <c r="N167" s="10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5.75" customHeight="1">
      <c r="A168" s="7">
        <v>167</v>
      </c>
      <c r="B168" s="7" t="s">
        <v>180</v>
      </c>
      <c r="C168" s="8"/>
      <c r="D168" s="8">
        <v>500</v>
      </c>
      <c r="E168" s="8"/>
      <c r="F168" s="8"/>
      <c r="G168" s="8"/>
      <c r="H168" s="19"/>
      <c r="I168" s="8"/>
      <c r="J168" s="8"/>
      <c r="K168" s="8"/>
      <c r="L168" s="8"/>
      <c r="M168" s="9">
        <f t="shared" si="0"/>
        <v>500</v>
      </c>
      <c r="N168" s="10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5.75" customHeight="1">
      <c r="A169" s="7">
        <v>168</v>
      </c>
      <c r="B169" s="7" t="s">
        <v>181</v>
      </c>
      <c r="C169" s="8"/>
      <c r="D169" s="8">
        <v>5000</v>
      </c>
      <c r="E169" s="8"/>
      <c r="F169" s="8"/>
      <c r="G169" s="8"/>
      <c r="H169" s="19"/>
      <c r="I169" s="8"/>
      <c r="J169" s="8"/>
      <c r="K169" s="8"/>
      <c r="L169" s="8"/>
      <c r="M169" s="9">
        <f t="shared" si="0"/>
        <v>5000</v>
      </c>
      <c r="N169" s="10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5.75" customHeight="1">
      <c r="A170" s="7">
        <v>169</v>
      </c>
      <c r="B170" s="7" t="s">
        <v>182</v>
      </c>
      <c r="C170" s="8"/>
      <c r="D170" s="8"/>
      <c r="E170" s="8"/>
      <c r="F170" s="8">
        <v>30000</v>
      </c>
      <c r="G170" s="8"/>
      <c r="H170" s="19"/>
      <c r="I170" s="8"/>
      <c r="J170" s="8"/>
      <c r="K170" s="8"/>
      <c r="L170" s="8"/>
      <c r="M170" s="9">
        <f t="shared" si="0"/>
        <v>30000</v>
      </c>
      <c r="N170" s="10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5.75" customHeight="1">
      <c r="A171" s="7">
        <v>170</v>
      </c>
      <c r="B171" s="7" t="s">
        <v>183</v>
      </c>
      <c r="C171" s="8"/>
      <c r="D171" s="8"/>
      <c r="E171" s="8"/>
      <c r="F171" s="8">
        <v>12000</v>
      </c>
      <c r="G171" s="8"/>
      <c r="H171" s="19"/>
      <c r="I171" s="8"/>
      <c r="J171" s="8"/>
      <c r="K171" s="8"/>
      <c r="L171" s="8"/>
      <c r="M171" s="9">
        <f t="shared" si="0"/>
        <v>12000</v>
      </c>
      <c r="N171" s="10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5.75" customHeight="1">
      <c r="A172" s="7">
        <v>171</v>
      </c>
      <c r="B172" s="7" t="s">
        <v>184</v>
      </c>
      <c r="C172" s="8"/>
      <c r="D172" s="8">
        <v>500</v>
      </c>
      <c r="E172" s="8"/>
      <c r="F172" s="8"/>
      <c r="G172" s="8"/>
      <c r="H172" s="19"/>
      <c r="I172" s="8"/>
      <c r="J172" s="8"/>
      <c r="K172" s="8"/>
      <c r="L172" s="8"/>
      <c r="M172" s="9">
        <f t="shared" si="0"/>
        <v>500</v>
      </c>
      <c r="N172" s="10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5.75" customHeight="1">
      <c r="A173" s="7">
        <v>172</v>
      </c>
      <c r="B173" s="7" t="s">
        <v>185</v>
      </c>
      <c r="C173" s="8">
        <v>1000</v>
      </c>
      <c r="D173" s="8">
        <v>1000</v>
      </c>
      <c r="E173" s="8"/>
      <c r="F173" s="8"/>
      <c r="G173" s="8"/>
      <c r="H173" s="19"/>
      <c r="I173" s="8"/>
      <c r="J173" s="8"/>
      <c r="K173" s="8"/>
      <c r="L173" s="8"/>
      <c r="M173" s="9">
        <f t="shared" si="0"/>
        <v>2000</v>
      </c>
      <c r="N173" s="10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5.75" customHeight="1">
      <c r="A174" s="7">
        <v>173</v>
      </c>
      <c r="B174" s="7" t="s">
        <v>186</v>
      </c>
      <c r="C174" s="8">
        <v>631303.6</v>
      </c>
      <c r="D174" s="8">
        <v>68696.399999999994</v>
      </c>
      <c r="E174" s="8"/>
      <c r="F174" s="8"/>
      <c r="G174" s="8"/>
      <c r="H174" s="19"/>
      <c r="I174" s="8"/>
      <c r="J174" s="8"/>
      <c r="K174" s="8"/>
      <c r="L174" s="8"/>
      <c r="M174" s="9">
        <f t="shared" si="0"/>
        <v>700000</v>
      </c>
      <c r="N174" s="10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5.75" customHeight="1">
      <c r="A175" s="7">
        <v>174</v>
      </c>
      <c r="B175" s="7" t="s">
        <v>187</v>
      </c>
      <c r="C175" s="8">
        <v>5000</v>
      </c>
      <c r="D175" s="8">
        <v>5000</v>
      </c>
      <c r="E175" s="8"/>
      <c r="F175" s="8"/>
      <c r="G175" s="8"/>
      <c r="H175" s="19"/>
      <c r="I175" s="8"/>
      <c r="J175" s="8"/>
      <c r="K175" s="8"/>
      <c r="L175" s="8"/>
      <c r="M175" s="9">
        <f t="shared" si="0"/>
        <v>10000</v>
      </c>
      <c r="N175" s="10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5.75" customHeight="1">
      <c r="A176" s="7">
        <v>175</v>
      </c>
      <c r="B176" s="7" t="s">
        <v>188</v>
      </c>
      <c r="C176" s="8">
        <v>38000</v>
      </c>
      <c r="D176" s="8"/>
      <c r="E176" s="8"/>
      <c r="F176" s="8"/>
      <c r="G176" s="8"/>
      <c r="H176" s="19"/>
      <c r="I176" s="8"/>
      <c r="J176" s="8"/>
      <c r="K176" s="8"/>
      <c r="L176" s="8"/>
      <c r="M176" s="9">
        <f t="shared" si="0"/>
        <v>38000</v>
      </c>
      <c r="N176" s="10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5.75" customHeight="1">
      <c r="A177" s="7">
        <v>176</v>
      </c>
      <c r="B177" s="7" t="s">
        <v>189</v>
      </c>
      <c r="C177" s="8">
        <v>2000</v>
      </c>
      <c r="D177" s="8">
        <v>2000</v>
      </c>
      <c r="E177" s="8"/>
      <c r="F177" s="8"/>
      <c r="G177" s="8"/>
      <c r="H177" s="19"/>
      <c r="I177" s="8"/>
      <c r="J177" s="8"/>
      <c r="K177" s="8"/>
      <c r="L177" s="8"/>
      <c r="M177" s="9">
        <f t="shared" si="0"/>
        <v>4000</v>
      </c>
      <c r="N177" s="10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5.75" customHeight="1">
      <c r="A178" s="7">
        <v>177</v>
      </c>
      <c r="B178" s="7" t="s">
        <v>190</v>
      </c>
      <c r="C178" s="11">
        <v>2500</v>
      </c>
      <c r="D178" s="8">
        <v>2500</v>
      </c>
      <c r="E178" s="8"/>
      <c r="F178" s="8"/>
      <c r="G178" s="8"/>
      <c r="H178" s="19"/>
      <c r="I178" s="8"/>
      <c r="J178" s="8"/>
      <c r="K178" s="8"/>
      <c r="L178" s="8"/>
      <c r="M178" s="9">
        <f t="shared" si="0"/>
        <v>5000</v>
      </c>
      <c r="N178" s="10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5.75" customHeight="1">
      <c r="A179" s="7">
        <v>178</v>
      </c>
      <c r="B179" s="6" t="s">
        <v>191</v>
      </c>
      <c r="C179" s="11"/>
      <c r="D179" s="11">
        <v>500</v>
      </c>
      <c r="E179" s="8"/>
      <c r="F179" s="8"/>
      <c r="G179" s="8"/>
      <c r="H179" s="11"/>
      <c r="I179" s="8"/>
      <c r="J179" s="8"/>
      <c r="K179" s="8"/>
      <c r="L179" s="8"/>
      <c r="M179" s="9">
        <f t="shared" si="0"/>
        <v>500</v>
      </c>
      <c r="N179" s="10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5.75" customHeight="1">
      <c r="A180" s="7">
        <v>179</v>
      </c>
      <c r="B180" s="7" t="s">
        <v>192</v>
      </c>
      <c r="C180" s="8">
        <v>5000</v>
      </c>
      <c r="D180" s="8">
        <v>5000</v>
      </c>
      <c r="E180" s="8"/>
      <c r="F180" s="8"/>
      <c r="G180" s="8"/>
      <c r="H180" s="11"/>
      <c r="I180" s="8"/>
      <c r="J180" s="8"/>
      <c r="K180" s="8"/>
      <c r="L180" s="8"/>
      <c r="M180" s="9">
        <f t="shared" si="0"/>
        <v>10000</v>
      </c>
      <c r="N180" s="10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5.75" customHeight="1">
      <c r="A181" s="7">
        <v>180</v>
      </c>
      <c r="B181" s="7" t="s">
        <v>193</v>
      </c>
      <c r="C181" s="8">
        <v>1000</v>
      </c>
      <c r="D181" s="8">
        <v>1000</v>
      </c>
      <c r="E181" s="8"/>
      <c r="F181" s="8"/>
      <c r="G181" s="8"/>
      <c r="H181" s="19"/>
      <c r="I181" s="8"/>
      <c r="J181" s="8"/>
      <c r="K181" s="8"/>
      <c r="L181" s="8"/>
      <c r="M181" s="9">
        <f t="shared" si="0"/>
        <v>2000</v>
      </c>
      <c r="N181" s="10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5.75" customHeight="1">
      <c r="A182" s="7">
        <v>181</v>
      </c>
      <c r="B182" s="7" t="s">
        <v>194</v>
      </c>
      <c r="C182" s="8">
        <v>60000</v>
      </c>
      <c r="D182" s="8">
        <v>60000</v>
      </c>
      <c r="E182" s="8"/>
      <c r="F182" s="8"/>
      <c r="G182" s="8"/>
      <c r="H182" s="19"/>
      <c r="I182" s="8"/>
      <c r="J182" s="8"/>
      <c r="K182" s="8"/>
      <c r="L182" s="8"/>
      <c r="M182" s="9">
        <f t="shared" si="0"/>
        <v>120000</v>
      </c>
      <c r="N182" s="10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5.75" customHeight="1">
      <c r="A183" s="7">
        <v>182</v>
      </c>
      <c r="B183" s="7" t="s">
        <v>195</v>
      </c>
      <c r="C183" s="8"/>
      <c r="D183" s="8"/>
      <c r="E183" s="8"/>
      <c r="F183" s="8">
        <v>10000</v>
      </c>
      <c r="G183" s="8"/>
      <c r="H183" s="19"/>
      <c r="I183" s="8"/>
      <c r="J183" s="8"/>
      <c r="K183" s="8"/>
      <c r="L183" s="8"/>
      <c r="M183" s="9">
        <f t="shared" si="0"/>
        <v>10000</v>
      </c>
      <c r="N183" s="10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5.75" customHeight="1">
      <c r="A184" s="7">
        <v>183</v>
      </c>
      <c r="B184" s="7" t="s">
        <v>196</v>
      </c>
      <c r="C184" s="8">
        <v>10000</v>
      </c>
      <c r="D184" s="8"/>
      <c r="E184" s="8"/>
      <c r="F184" s="8"/>
      <c r="G184" s="8"/>
      <c r="H184" s="19"/>
      <c r="I184" s="8"/>
      <c r="J184" s="8"/>
      <c r="K184" s="8"/>
      <c r="L184" s="8"/>
      <c r="M184" s="9">
        <f t="shared" si="0"/>
        <v>10000</v>
      </c>
      <c r="N184" s="10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5.75" customHeight="1">
      <c r="A185" s="7">
        <v>184</v>
      </c>
      <c r="B185" s="7" t="s">
        <v>197</v>
      </c>
      <c r="C185" s="8"/>
      <c r="D185" s="8">
        <v>1000</v>
      </c>
      <c r="E185" s="8"/>
      <c r="F185" s="8"/>
      <c r="G185" s="8"/>
      <c r="H185" s="19"/>
      <c r="I185" s="8"/>
      <c r="J185" s="8"/>
      <c r="K185" s="8"/>
      <c r="L185" s="8"/>
      <c r="M185" s="9">
        <f t="shared" si="0"/>
        <v>1000</v>
      </c>
      <c r="N185" s="10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5.75" customHeight="1">
      <c r="A186" s="7">
        <v>185</v>
      </c>
      <c r="B186" s="7" t="s">
        <v>198</v>
      </c>
      <c r="C186" s="8">
        <v>1000</v>
      </c>
      <c r="D186" s="8"/>
      <c r="E186" s="8"/>
      <c r="F186" s="8"/>
      <c r="G186" s="8"/>
      <c r="H186" s="19"/>
      <c r="I186" s="8"/>
      <c r="J186" s="8"/>
      <c r="K186" s="8"/>
      <c r="L186" s="8"/>
      <c r="M186" s="9">
        <f t="shared" si="0"/>
        <v>1000</v>
      </c>
      <c r="N186" s="10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5.75" customHeight="1">
      <c r="A187" s="7">
        <v>186</v>
      </c>
      <c r="B187" s="7" t="s">
        <v>199</v>
      </c>
      <c r="C187" s="8">
        <v>50000</v>
      </c>
      <c r="D187" s="8">
        <v>50000</v>
      </c>
      <c r="E187" s="8"/>
      <c r="F187" s="8"/>
      <c r="G187" s="8"/>
      <c r="H187" s="19"/>
      <c r="I187" s="8"/>
      <c r="J187" s="8"/>
      <c r="K187" s="8"/>
      <c r="L187" s="8"/>
      <c r="M187" s="9">
        <f t="shared" si="0"/>
        <v>100000</v>
      </c>
      <c r="N187" s="10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5.75" customHeight="1">
      <c r="A188" s="7">
        <v>187</v>
      </c>
      <c r="B188" s="7" t="s">
        <v>200</v>
      </c>
      <c r="C188" s="8">
        <v>1250</v>
      </c>
      <c r="D188" s="8">
        <v>1250</v>
      </c>
      <c r="E188" s="8"/>
      <c r="F188" s="8"/>
      <c r="G188" s="8"/>
      <c r="H188" s="19"/>
      <c r="I188" s="8"/>
      <c r="J188" s="8"/>
      <c r="K188" s="8"/>
      <c r="L188" s="8"/>
      <c r="M188" s="9">
        <f t="shared" si="0"/>
        <v>2500</v>
      </c>
      <c r="N188" s="10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5.75" customHeight="1">
      <c r="A189" s="7">
        <v>188</v>
      </c>
      <c r="B189" s="7" t="s">
        <v>201</v>
      </c>
      <c r="C189" s="8">
        <v>40000</v>
      </c>
      <c r="D189" s="8"/>
      <c r="E189" s="8"/>
      <c r="F189" s="8"/>
      <c r="G189" s="8"/>
      <c r="H189" s="19"/>
      <c r="I189" s="8"/>
      <c r="J189" s="8"/>
      <c r="K189" s="8"/>
      <c r="L189" s="6"/>
      <c r="M189" s="9">
        <f t="shared" si="0"/>
        <v>40000</v>
      </c>
      <c r="N189" s="10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5.75" customHeight="1">
      <c r="A190" s="7">
        <v>189</v>
      </c>
      <c r="B190" s="7" t="s">
        <v>202</v>
      </c>
      <c r="C190" s="8"/>
      <c r="D190" s="8">
        <v>1000</v>
      </c>
      <c r="E190" s="8"/>
      <c r="F190" s="8"/>
      <c r="G190" s="8"/>
      <c r="H190" s="19"/>
      <c r="I190" s="8"/>
      <c r="J190" s="8"/>
      <c r="K190" s="8"/>
      <c r="L190" s="8"/>
      <c r="M190" s="9">
        <f t="shared" si="0"/>
        <v>1000</v>
      </c>
      <c r="N190" s="10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5.75" customHeight="1">
      <c r="A191" s="7">
        <v>190</v>
      </c>
      <c r="B191" s="7" t="s">
        <v>203</v>
      </c>
      <c r="C191" s="8">
        <v>10000</v>
      </c>
      <c r="D191" s="8"/>
      <c r="E191" s="8"/>
      <c r="F191" s="14"/>
      <c r="G191" s="8"/>
      <c r="H191" s="19"/>
      <c r="I191" s="8"/>
      <c r="J191" s="8"/>
      <c r="K191" s="8"/>
      <c r="L191" s="8"/>
      <c r="M191" s="9">
        <f t="shared" si="0"/>
        <v>10000</v>
      </c>
      <c r="N191" s="10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5.75" customHeight="1">
      <c r="A192" s="7">
        <v>191</v>
      </c>
      <c r="B192" s="7" t="s">
        <v>204</v>
      </c>
      <c r="C192" s="8">
        <v>2000</v>
      </c>
      <c r="D192" s="8"/>
      <c r="E192" s="8"/>
      <c r="F192" s="14"/>
      <c r="G192" s="8"/>
      <c r="H192" s="19"/>
      <c r="I192" s="8"/>
      <c r="J192" s="8"/>
      <c r="K192" s="8"/>
      <c r="L192" s="8"/>
      <c r="M192" s="9">
        <f t="shared" si="0"/>
        <v>2000</v>
      </c>
      <c r="N192" s="10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5.75" customHeight="1">
      <c r="A193" s="7">
        <v>192</v>
      </c>
      <c r="B193" s="7" t="s">
        <v>205</v>
      </c>
      <c r="C193" s="8"/>
      <c r="D193" s="8"/>
      <c r="E193" s="8"/>
      <c r="F193" s="14">
        <v>10000</v>
      </c>
      <c r="G193" s="8"/>
      <c r="H193" s="19"/>
      <c r="I193" s="8"/>
      <c r="J193" s="8"/>
      <c r="K193" s="8"/>
      <c r="L193" s="8"/>
      <c r="M193" s="9">
        <f t="shared" si="0"/>
        <v>10000</v>
      </c>
      <c r="N193" s="10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5.75" customHeight="1">
      <c r="A194" s="7">
        <v>193</v>
      </c>
      <c r="B194" s="7" t="s">
        <v>206</v>
      </c>
      <c r="C194" s="8"/>
      <c r="D194" s="8">
        <v>2000</v>
      </c>
      <c r="E194" s="8"/>
      <c r="F194" s="14"/>
      <c r="G194" s="8"/>
      <c r="H194" s="19"/>
      <c r="I194" s="8"/>
      <c r="J194" s="8"/>
      <c r="K194" s="8"/>
      <c r="L194" s="8"/>
      <c r="M194" s="9">
        <f t="shared" si="0"/>
        <v>2000</v>
      </c>
      <c r="N194" s="10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15.75" customHeight="1">
      <c r="A195" s="7">
        <v>194</v>
      </c>
      <c r="B195" s="7" t="s">
        <v>207</v>
      </c>
      <c r="C195" s="8"/>
      <c r="D195" s="8">
        <v>1000</v>
      </c>
      <c r="E195" s="8"/>
      <c r="F195" s="14"/>
      <c r="G195" s="8"/>
      <c r="H195" s="19"/>
      <c r="I195" s="8"/>
      <c r="J195" s="8"/>
      <c r="K195" s="8"/>
      <c r="L195" s="8"/>
      <c r="M195" s="9">
        <f t="shared" si="0"/>
        <v>1000</v>
      </c>
      <c r="N195" s="10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5.75" customHeight="1">
      <c r="A196" s="7">
        <v>195</v>
      </c>
      <c r="B196" s="7" t="s">
        <v>208</v>
      </c>
      <c r="C196" s="8"/>
      <c r="D196" s="8">
        <v>500</v>
      </c>
      <c r="E196" s="8"/>
      <c r="F196" s="14"/>
      <c r="G196" s="8"/>
      <c r="H196" s="19"/>
      <c r="I196" s="8"/>
      <c r="J196" s="8"/>
      <c r="K196" s="8"/>
      <c r="L196" s="8"/>
      <c r="M196" s="9">
        <f t="shared" si="0"/>
        <v>500</v>
      </c>
      <c r="N196" s="10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5.75" customHeight="1">
      <c r="A197" s="7">
        <v>196</v>
      </c>
      <c r="B197" s="7" t="s">
        <v>209</v>
      </c>
      <c r="C197" s="8">
        <v>10000</v>
      </c>
      <c r="D197" s="8">
        <v>10000</v>
      </c>
      <c r="E197" s="8"/>
      <c r="F197" s="14"/>
      <c r="G197" s="8"/>
      <c r="H197" s="19"/>
      <c r="I197" s="8"/>
      <c r="J197" s="8"/>
      <c r="K197" s="8"/>
      <c r="L197" s="8"/>
      <c r="M197" s="9">
        <f t="shared" si="0"/>
        <v>20000</v>
      </c>
      <c r="N197" s="10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5.75" customHeight="1">
      <c r="A198" s="7">
        <v>197</v>
      </c>
      <c r="B198" s="7" t="s">
        <v>210</v>
      </c>
      <c r="C198" s="8"/>
      <c r="D198" s="8">
        <v>1000</v>
      </c>
      <c r="E198" s="8"/>
      <c r="F198" s="14"/>
      <c r="G198" s="8"/>
      <c r="H198" s="19"/>
      <c r="I198" s="8"/>
      <c r="J198" s="8"/>
      <c r="K198" s="8"/>
      <c r="L198" s="8"/>
      <c r="M198" s="9">
        <f t="shared" si="0"/>
        <v>1000</v>
      </c>
      <c r="N198" s="10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5.75" customHeight="1">
      <c r="A199" s="7">
        <v>198</v>
      </c>
      <c r="B199" s="7" t="s">
        <v>211</v>
      </c>
      <c r="C199" s="8">
        <v>12000</v>
      </c>
      <c r="D199" s="8"/>
      <c r="E199" s="8"/>
      <c r="F199" s="14"/>
      <c r="G199" s="8"/>
      <c r="H199" s="19"/>
      <c r="I199" s="8"/>
      <c r="J199" s="8"/>
      <c r="K199" s="8"/>
      <c r="L199" s="8"/>
      <c r="M199" s="9">
        <f t="shared" si="0"/>
        <v>12000</v>
      </c>
      <c r="N199" s="10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5.75" customHeight="1">
      <c r="A200" s="7">
        <v>199</v>
      </c>
      <c r="B200" s="7" t="s">
        <v>212</v>
      </c>
      <c r="C200" s="8">
        <v>1000</v>
      </c>
      <c r="D200" s="8"/>
      <c r="E200" s="8"/>
      <c r="F200" s="14"/>
      <c r="G200" s="8"/>
      <c r="H200" s="19"/>
      <c r="I200" s="8"/>
      <c r="J200" s="8"/>
      <c r="K200" s="8"/>
      <c r="L200" s="8"/>
      <c r="M200" s="9">
        <f t="shared" si="0"/>
        <v>1000</v>
      </c>
      <c r="N200" s="10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5.75" customHeight="1">
      <c r="A201" s="7">
        <v>200</v>
      </c>
      <c r="B201" s="7" t="s">
        <v>213</v>
      </c>
      <c r="C201" s="8"/>
      <c r="D201" s="8">
        <v>20000</v>
      </c>
      <c r="E201" s="8"/>
      <c r="F201" s="14"/>
      <c r="G201" s="8"/>
      <c r="H201" s="19"/>
      <c r="I201" s="8"/>
      <c r="J201" s="8"/>
      <c r="K201" s="8"/>
      <c r="L201" s="8"/>
      <c r="M201" s="9">
        <f t="shared" si="0"/>
        <v>20000</v>
      </c>
      <c r="N201" s="10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5.75" customHeight="1">
      <c r="A202" s="7">
        <v>201</v>
      </c>
      <c r="B202" s="7" t="s">
        <v>214</v>
      </c>
      <c r="C202" s="8">
        <v>2500</v>
      </c>
      <c r="D202" s="8">
        <v>2500</v>
      </c>
      <c r="E202" s="8"/>
      <c r="F202" s="14"/>
      <c r="G202" s="8"/>
      <c r="H202" s="19"/>
      <c r="I202" s="8"/>
      <c r="J202" s="8"/>
      <c r="K202" s="8"/>
      <c r="L202" s="8"/>
      <c r="M202" s="9">
        <f t="shared" si="0"/>
        <v>5000</v>
      </c>
      <c r="N202" s="10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5.75" customHeight="1">
      <c r="A203" s="20">
        <v>202</v>
      </c>
      <c r="B203" s="20" t="s">
        <v>214</v>
      </c>
      <c r="C203" s="21">
        <v>5000</v>
      </c>
      <c r="D203" s="21">
        <v>5000</v>
      </c>
      <c r="E203" s="21"/>
      <c r="F203" s="21"/>
      <c r="G203" s="21"/>
      <c r="H203" s="22"/>
      <c r="I203" s="21"/>
      <c r="J203" s="21"/>
      <c r="K203" s="21"/>
      <c r="L203" s="21"/>
      <c r="M203" s="23">
        <f t="shared" si="0"/>
        <v>10000</v>
      </c>
      <c r="N203" s="24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7">
        <v>203</v>
      </c>
      <c r="B204" s="7" t="s">
        <v>215</v>
      </c>
      <c r="C204" s="8"/>
      <c r="D204" s="8">
        <v>2000</v>
      </c>
      <c r="E204" s="8"/>
      <c r="F204" s="14"/>
      <c r="G204" s="8"/>
      <c r="H204" s="19"/>
      <c r="I204" s="8"/>
      <c r="J204" s="8"/>
      <c r="K204" s="8"/>
      <c r="L204" s="8"/>
      <c r="M204" s="9">
        <f t="shared" si="0"/>
        <v>2000</v>
      </c>
      <c r="N204" s="10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5.75" customHeight="1">
      <c r="A205" s="7">
        <v>204</v>
      </c>
      <c r="B205" s="7" t="s">
        <v>216</v>
      </c>
      <c r="C205" s="8">
        <v>10000</v>
      </c>
      <c r="D205" s="8"/>
      <c r="E205" s="8"/>
      <c r="F205" s="14"/>
      <c r="G205" s="8"/>
      <c r="H205" s="19"/>
      <c r="I205" s="8"/>
      <c r="J205" s="8"/>
      <c r="K205" s="8"/>
      <c r="L205" s="8"/>
      <c r="M205" s="9">
        <f t="shared" si="0"/>
        <v>10000</v>
      </c>
      <c r="N205" s="10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5.75" customHeight="1">
      <c r="A206" s="7">
        <v>205</v>
      </c>
      <c r="B206" s="7" t="s">
        <v>217</v>
      </c>
      <c r="C206" s="8">
        <v>13500</v>
      </c>
      <c r="D206" s="8">
        <v>1500</v>
      </c>
      <c r="E206" s="8"/>
      <c r="F206" s="14"/>
      <c r="G206" s="8"/>
      <c r="H206" s="19"/>
      <c r="I206" s="8"/>
      <c r="J206" s="8"/>
      <c r="K206" s="8"/>
      <c r="L206" s="8"/>
      <c r="M206" s="9">
        <f t="shared" si="0"/>
        <v>15000</v>
      </c>
      <c r="N206" s="10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5.75" customHeight="1">
      <c r="A207" s="7">
        <v>206</v>
      </c>
      <c r="B207" s="7" t="s">
        <v>218</v>
      </c>
      <c r="C207" s="8">
        <v>500</v>
      </c>
      <c r="D207" s="8"/>
      <c r="E207" s="8"/>
      <c r="F207" s="14"/>
      <c r="G207" s="8"/>
      <c r="H207" s="19"/>
      <c r="I207" s="8"/>
      <c r="J207" s="8"/>
      <c r="K207" s="8"/>
      <c r="L207" s="8"/>
      <c r="M207" s="9">
        <f t="shared" si="0"/>
        <v>500</v>
      </c>
      <c r="N207" s="10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5.75" customHeight="1">
      <c r="A208" s="7">
        <v>207</v>
      </c>
      <c r="B208" s="8" t="s">
        <v>219</v>
      </c>
      <c r="C208" s="11"/>
      <c r="D208" s="8">
        <v>2000</v>
      </c>
      <c r="E208" s="8"/>
      <c r="F208" s="14"/>
      <c r="G208" s="8"/>
      <c r="H208" s="19"/>
      <c r="I208" s="8"/>
      <c r="J208" s="8"/>
      <c r="K208" s="8"/>
      <c r="L208" s="8"/>
      <c r="M208" s="9">
        <f t="shared" si="0"/>
        <v>2000</v>
      </c>
      <c r="N208" s="10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15.75" customHeight="1">
      <c r="A209" s="7">
        <v>208</v>
      </c>
      <c r="B209" s="7" t="s">
        <v>166</v>
      </c>
      <c r="C209" s="8">
        <v>15000</v>
      </c>
      <c r="D209" s="8"/>
      <c r="E209" s="8"/>
      <c r="F209" s="14"/>
      <c r="G209" s="8"/>
      <c r="H209" s="19"/>
      <c r="I209" s="8"/>
      <c r="J209" s="8"/>
      <c r="K209" s="8"/>
      <c r="L209" s="8"/>
      <c r="M209" s="9">
        <f t="shared" si="0"/>
        <v>15000</v>
      </c>
      <c r="N209" s="10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15.75" customHeight="1">
      <c r="A210" s="7">
        <v>209</v>
      </c>
      <c r="B210" s="7" t="s">
        <v>220</v>
      </c>
      <c r="C210" s="8"/>
      <c r="D210" s="8">
        <v>2000</v>
      </c>
      <c r="E210" s="8"/>
      <c r="F210" s="14"/>
      <c r="G210" s="8"/>
      <c r="H210" s="19"/>
      <c r="I210" s="8"/>
      <c r="J210" s="8"/>
      <c r="K210" s="8"/>
      <c r="L210" s="8"/>
      <c r="M210" s="9">
        <f t="shared" si="0"/>
        <v>2000</v>
      </c>
      <c r="N210" s="10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15.75" customHeight="1">
      <c r="A211" s="7">
        <v>210</v>
      </c>
      <c r="B211" s="7" t="s">
        <v>221</v>
      </c>
      <c r="C211" s="8"/>
      <c r="D211" s="8"/>
      <c r="E211" s="8">
        <v>190300</v>
      </c>
      <c r="F211" s="14"/>
      <c r="G211" s="8"/>
      <c r="H211" s="19"/>
      <c r="I211" s="8"/>
      <c r="J211" s="8"/>
      <c r="K211" s="8"/>
      <c r="L211" s="8"/>
      <c r="M211" s="9">
        <f t="shared" si="0"/>
        <v>190300</v>
      </c>
      <c r="N211" s="10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15.75" customHeight="1">
      <c r="A212" s="7">
        <v>211</v>
      </c>
      <c r="B212" s="7" t="s">
        <v>222</v>
      </c>
      <c r="C212" s="8"/>
      <c r="D212" s="8"/>
      <c r="E212" s="8"/>
      <c r="F212" s="14"/>
      <c r="G212" s="8"/>
      <c r="H212" s="19"/>
      <c r="I212" s="8"/>
      <c r="J212" s="8"/>
      <c r="K212" s="8"/>
      <c r="L212" s="8">
        <v>252700</v>
      </c>
      <c r="M212" s="9">
        <f t="shared" si="0"/>
        <v>252700</v>
      </c>
      <c r="N212" s="10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15.75" customHeight="1">
      <c r="A213" s="7">
        <v>212</v>
      </c>
      <c r="B213" s="7" t="s">
        <v>223</v>
      </c>
      <c r="C213" s="8">
        <v>50000</v>
      </c>
      <c r="D213" s="8">
        <v>2000</v>
      </c>
      <c r="E213" s="8"/>
      <c r="F213" s="14"/>
      <c r="G213" s="8"/>
      <c r="H213" s="19"/>
      <c r="I213" s="8"/>
      <c r="J213" s="8"/>
      <c r="K213" s="8"/>
      <c r="L213" s="8"/>
      <c r="M213" s="9">
        <f t="shared" si="0"/>
        <v>52000</v>
      </c>
      <c r="N213" s="10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15.75" customHeight="1">
      <c r="A214" s="7">
        <v>213</v>
      </c>
      <c r="B214" s="7" t="s">
        <v>223</v>
      </c>
      <c r="C214" s="8">
        <v>10000</v>
      </c>
      <c r="D214" s="8"/>
      <c r="E214" s="8"/>
      <c r="F214" s="14"/>
      <c r="G214" s="8"/>
      <c r="H214" s="19">
        <v>20000</v>
      </c>
      <c r="I214" s="8"/>
      <c r="J214" s="8"/>
      <c r="K214" s="8"/>
      <c r="L214" s="8"/>
      <c r="M214" s="9">
        <f t="shared" si="0"/>
        <v>30000</v>
      </c>
      <c r="N214" s="10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15.75" customHeight="1">
      <c r="A215" s="7">
        <v>214</v>
      </c>
      <c r="B215" s="7" t="s">
        <v>225</v>
      </c>
      <c r="C215" s="8">
        <v>632000</v>
      </c>
      <c r="D215" s="8">
        <v>632000</v>
      </c>
      <c r="E215" s="8"/>
      <c r="F215" s="8"/>
      <c r="G215" s="8"/>
      <c r="H215" s="8"/>
      <c r="I215" s="8"/>
      <c r="J215" s="8"/>
      <c r="K215" s="8"/>
      <c r="L215" s="8"/>
      <c r="M215" s="9">
        <f t="shared" ref="M215:M225" si="1">SUM(C215:L215)</f>
        <v>1264000</v>
      </c>
      <c r="N215" s="10" t="s">
        <v>224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15.75" customHeight="1">
      <c r="A216" s="7">
        <v>215</v>
      </c>
      <c r="B216" s="7" t="s">
        <v>174</v>
      </c>
      <c r="C216" s="8">
        <v>110000</v>
      </c>
      <c r="D216" s="8">
        <v>110000</v>
      </c>
      <c r="E216" s="8"/>
      <c r="F216" s="8"/>
      <c r="G216" s="8"/>
      <c r="H216" s="8"/>
      <c r="I216" s="8"/>
      <c r="J216" s="8"/>
      <c r="K216" s="8"/>
      <c r="L216" s="8"/>
      <c r="M216" s="9">
        <f t="shared" si="1"/>
        <v>220000</v>
      </c>
      <c r="N216" s="10" t="s">
        <v>224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5.75" customHeight="1">
      <c r="A217" s="7">
        <v>216</v>
      </c>
      <c r="B217" s="7" t="s">
        <v>80</v>
      </c>
      <c r="C217" s="8">
        <v>212000</v>
      </c>
      <c r="D217" s="8"/>
      <c r="E217" s="8"/>
      <c r="F217" s="8"/>
      <c r="G217" s="8"/>
      <c r="H217" s="8"/>
      <c r="I217" s="8"/>
      <c r="J217" s="8"/>
      <c r="K217" s="8"/>
      <c r="L217" s="8"/>
      <c r="M217" s="9">
        <f t="shared" si="1"/>
        <v>212000</v>
      </c>
      <c r="N217" s="10" t="s">
        <v>224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5.75" customHeight="1">
      <c r="A218" s="7">
        <v>217</v>
      </c>
      <c r="B218" s="7" t="s">
        <v>226</v>
      </c>
      <c r="C218" s="8">
        <v>435000</v>
      </c>
      <c r="D218" s="8"/>
      <c r="E218" s="8"/>
      <c r="F218" s="8"/>
      <c r="G218" s="8"/>
      <c r="H218" s="8"/>
      <c r="I218" s="8"/>
      <c r="J218" s="8"/>
      <c r="K218" s="8"/>
      <c r="L218" s="8"/>
      <c r="M218" s="9">
        <f t="shared" si="1"/>
        <v>435000</v>
      </c>
      <c r="N218" s="10" t="s">
        <v>224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15.75" customHeight="1">
      <c r="A219" s="7">
        <v>218</v>
      </c>
      <c r="B219" s="7" t="s">
        <v>227</v>
      </c>
      <c r="C219" s="8">
        <v>15000</v>
      </c>
      <c r="D219" s="8">
        <v>15000</v>
      </c>
      <c r="E219" s="8"/>
      <c r="F219" s="8"/>
      <c r="G219" s="8"/>
      <c r="H219" s="8"/>
      <c r="I219" s="8"/>
      <c r="J219" s="8"/>
      <c r="K219" s="8"/>
      <c r="L219" s="8"/>
      <c r="M219" s="9">
        <f t="shared" si="1"/>
        <v>30000</v>
      </c>
      <c r="N219" s="10" t="s">
        <v>224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5.75" customHeight="1">
      <c r="A220" s="7">
        <v>219</v>
      </c>
      <c r="B220" s="7" t="s">
        <v>125</v>
      </c>
      <c r="C220" s="8">
        <v>192700</v>
      </c>
      <c r="D220" s="8"/>
      <c r="E220" s="8"/>
      <c r="F220" s="8"/>
      <c r="G220" s="8"/>
      <c r="H220" s="8"/>
      <c r="I220" s="8"/>
      <c r="J220" s="8"/>
      <c r="K220" s="8"/>
      <c r="L220" s="8"/>
      <c r="M220" s="9">
        <f t="shared" si="1"/>
        <v>192700</v>
      </c>
      <c r="N220" s="10" t="s">
        <v>224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15.75" customHeight="1">
      <c r="A221" s="7">
        <v>220</v>
      </c>
      <c r="B221" s="7" t="s">
        <v>228</v>
      </c>
      <c r="C221" s="8">
        <v>3557182</v>
      </c>
      <c r="D221" s="8">
        <v>2347218</v>
      </c>
      <c r="E221" s="8"/>
      <c r="F221" s="8"/>
      <c r="G221" s="8"/>
      <c r="H221" s="8"/>
      <c r="I221" s="8"/>
      <c r="J221" s="8"/>
      <c r="K221" s="8">
        <v>500000</v>
      </c>
      <c r="L221" s="8"/>
      <c r="M221" s="9">
        <f t="shared" si="1"/>
        <v>6404400</v>
      </c>
      <c r="N221" s="10" t="s">
        <v>224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15.75" customHeight="1">
      <c r="A222" s="7">
        <v>221</v>
      </c>
      <c r="B222" s="7" t="s">
        <v>229</v>
      </c>
      <c r="C222" s="8">
        <v>45000</v>
      </c>
      <c r="D222" s="8">
        <v>45000</v>
      </c>
      <c r="E222" s="8"/>
      <c r="F222" s="8"/>
      <c r="G222" s="8"/>
      <c r="H222" s="8"/>
      <c r="I222" s="8"/>
      <c r="J222" s="8"/>
      <c r="K222" s="8"/>
      <c r="L222" s="8"/>
      <c r="M222" s="9">
        <f t="shared" si="1"/>
        <v>90000</v>
      </c>
      <c r="N222" s="10" t="s">
        <v>224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ht="15.75" customHeight="1">
      <c r="A223" s="7"/>
      <c r="B223" s="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9">
        <f t="shared" si="1"/>
        <v>0</v>
      </c>
      <c r="N223" s="10" t="s">
        <v>224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ht="15.75" customHeight="1">
      <c r="A224" s="7"/>
      <c r="B224" s="7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9">
        <f t="shared" si="1"/>
        <v>0</v>
      </c>
      <c r="N224" s="10" t="s">
        <v>224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ht="15.75" customHeight="1">
      <c r="A225" s="7"/>
      <c r="B225" s="26" t="s">
        <v>230</v>
      </c>
      <c r="C225" s="27">
        <f>SUM(C2:C224)</f>
        <v>8100685.5999999996</v>
      </c>
      <c r="D225" s="27">
        <f>SUM(D2:D224)</f>
        <v>4583214.4000000004</v>
      </c>
      <c r="E225" s="27">
        <f>SUM(E2:E224)</f>
        <v>190300</v>
      </c>
      <c r="F225" s="27">
        <f>SUM(F2:F224)</f>
        <v>180800</v>
      </c>
      <c r="G225" s="27">
        <f>SUM(G2:G224)</f>
        <v>2000</v>
      </c>
      <c r="H225" s="27">
        <f>SUM(H2:H224)</f>
        <v>20000</v>
      </c>
      <c r="I225" s="27">
        <f>SUM(I2:I224)</f>
        <v>0</v>
      </c>
      <c r="J225" s="27">
        <f>SUM(J2:J224)</f>
        <v>0</v>
      </c>
      <c r="K225" s="27">
        <f>SUM(K2:K224)</f>
        <v>1155500</v>
      </c>
      <c r="L225" s="27">
        <f>SUM(L2:L224)</f>
        <v>282700</v>
      </c>
      <c r="M225" s="27">
        <f t="shared" si="1"/>
        <v>14515200</v>
      </c>
      <c r="N225" s="4"/>
      <c r="O225" s="5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ht="15.75" customHeight="1">
      <c r="A226" s="2"/>
      <c r="B226" s="7"/>
      <c r="C226" s="8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ht="15.75" customHeight="1">
      <c r="A227" s="7"/>
      <c r="B227" s="6"/>
      <c r="C227" s="11"/>
      <c r="D227" s="28"/>
      <c r="E227" s="28" t="s">
        <v>231</v>
      </c>
      <c r="F227" s="28"/>
      <c r="G227" s="28" t="s">
        <v>232</v>
      </c>
      <c r="H227" s="28"/>
      <c r="I227" s="28"/>
      <c r="J227" s="28"/>
      <c r="K227" s="29"/>
      <c r="L227" s="29"/>
      <c r="M227" s="29"/>
      <c r="N227" s="28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ht="15.75" customHeight="1">
      <c r="A228" s="6"/>
      <c r="B228" s="11"/>
      <c r="C228" s="11"/>
      <c r="D228" s="28"/>
      <c r="E228" s="28"/>
      <c r="F228" s="28"/>
      <c r="G228" s="28"/>
      <c r="H228" s="28"/>
      <c r="I228" s="28"/>
      <c r="J228" s="28"/>
      <c r="K228" s="29"/>
      <c r="L228" s="29"/>
      <c r="M228" s="29"/>
      <c r="N228" s="29"/>
      <c r="O228" s="11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ht="15.75" customHeight="1">
      <c r="A229" s="6"/>
      <c r="B229" s="6" t="s">
        <v>233</v>
      </c>
      <c r="C229" s="11"/>
      <c r="D229" s="28"/>
      <c r="E229" s="28"/>
      <c r="F229" s="28"/>
      <c r="G229" s="28" t="s">
        <v>234</v>
      </c>
      <c r="H229" s="28"/>
      <c r="I229" s="28" t="s">
        <v>235</v>
      </c>
      <c r="J229" s="11">
        <f>SUM(M2:M214)</f>
        <v>5667100</v>
      </c>
      <c r="K229" s="30" t="s">
        <v>236</v>
      </c>
      <c r="L229" s="29"/>
      <c r="M229" s="29"/>
      <c r="N229" s="29"/>
      <c r="O229" s="11"/>
      <c r="P229" s="11"/>
      <c r="Q229" s="11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ht="15.75" customHeight="1">
      <c r="A230" s="6"/>
      <c r="B230" s="6"/>
      <c r="C230" s="11"/>
      <c r="D230" s="28"/>
      <c r="E230" s="28"/>
      <c r="F230" s="28"/>
      <c r="G230" s="28"/>
      <c r="H230" s="28"/>
      <c r="I230" s="28" t="s">
        <v>237</v>
      </c>
      <c r="J230" s="11">
        <f>SUM(M215:M224)</f>
        <v>8848100</v>
      </c>
      <c r="K230" s="30"/>
      <c r="L230" s="29"/>
      <c r="M230" s="29"/>
      <c r="N230" s="29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ht="15.75" customHeight="1">
      <c r="A231" s="6"/>
      <c r="B231" s="7"/>
      <c r="C231" s="3" t="s">
        <v>238</v>
      </c>
      <c r="D231" s="31" t="s">
        <v>239</v>
      </c>
      <c r="E231" s="31" t="s">
        <v>230</v>
      </c>
      <c r="F231" s="28"/>
      <c r="G231" s="28"/>
      <c r="H231" s="28"/>
      <c r="I231" s="28"/>
      <c r="J231" s="11">
        <f>SUM(J229:J230)</f>
        <v>14515200</v>
      </c>
      <c r="K231" s="30"/>
      <c r="L231" s="28"/>
      <c r="M231" s="28"/>
      <c r="N231" s="28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ht="15.75" customHeight="1">
      <c r="A232" s="6"/>
      <c r="B232" s="2" t="s">
        <v>2</v>
      </c>
      <c r="C232" s="19">
        <f>C225</f>
        <v>8100685.5999999996</v>
      </c>
      <c r="D232" s="8"/>
      <c r="E232" s="8">
        <f t="shared" ref="E232:E240" si="2">SUM(C232:D232)</f>
        <v>8100685.5999999996</v>
      </c>
      <c r="F232" s="28"/>
      <c r="G232" s="28"/>
      <c r="H232" s="28"/>
      <c r="I232" s="28"/>
      <c r="J232" s="28"/>
      <c r="K232" s="30"/>
      <c r="L232" s="28"/>
      <c r="M232" s="28"/>
      <c r="N232" s="28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ht="15.75" customHeight="1">
      <c r="A233" s="6"/>
      <c r="B233" s="2" t="s">
        <v>3</v>
      </c>
      <c r="C233" s="19">
        <f>0.58*D225</f>
        <v>2658264.352</v>
      </c>
      <c r="D233" s="8">
        <f>0.42*D225</f>
        <v>1924950.0480000002</v>
      </c>
      <c r="E233" s="8">
        <f t="shared" si="2"/>
        <v>4583214.4000000004</v>
      </c>
      <c r="F233" s="28"/>
      <c r="G233" s="28"/>
      <c r="H233" s="28"/>
      <c r="I233" s="28"/>
      <c r="J233" s="28"/>
      <c r="K233" s="28"/>
      <c r="L233" s="28"/>
      <c r="M233" s="28"/>
      <c r="N233" s="28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ht="15.75" customHeight="1">
      <c r="A234" s="6"/>
      <c r="B234" s="2" t="s">
        <v>240</v>
      </c>
      <c r="C234" s="19"/>
      <c r="D234" s="8">
        <v>30000</v>
      </c>
      <c r="E234" s="8">
        <f t="shared" si="2"/>
        <v>30000</v>
      </c>
      <c r="F234" s="28"/>
      <c r="G234" s="28"/>
      <c r="H234" s="28"/>
      <c r="I234" s="11"/>
      <c r="J234" s="28"/>
      <c r="K234" s="28"/>
      <c r="L234" s="28"/>
      <c r="M234" s="28"/>
      <c r="N234" s="28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ht="15.75" customHeight="1">
      <c r="A235" s="6"/>
      <c r="B235" s="2" t="s">
        <v>5</v>
      </c>
      <c r="C235" s="19">
        <f>0.58*F225</f>
        <v>104864</v>
      </c>
      <c r="D235" s="8">
        <f t="shared" ref="D235:D236" si="3">0.42*F225</f>
        <v>75936</v>
      </c>
      <c r="E235" s="8">
        <f t="shared" si="2"/>
        <v>180800</v>
      </c>
      <c r="F235" s="28"/>
      <c r="G235" s="28"/>
      <c r="H235" s="28"/>
      <c r="I235" s="11"/>
      <c r="J235" s="28"/>
      <c r="K235" s="28"/>
      <c r="L235" s="28"/>
      <c r="M235" s="28"/>
      <c r="N235" s="28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ht="12.75" customHeight="1">
      <c r="A236" s="6"/>
      <c r="B236" s="2" t="s">
        <v>6</v>
      </c>
      <c r="C236" s="19">
        <f>G225</f>
        <v>2000</v>
      </c>
      <c r="D236" s="8">
        <f t="shared" si="3"/>
        <v>0</v>
      </c>
      <c r="E236" s="8">
        <f t="shared" si="2"/>
        <v>2000</v>
      </c>
      <c r="F236" s="28"/>
      <c r="G236" s="28"/>
      <c r="H236" s="28"/>
      <c r="I236" s="11"/>
      <c r="J236" s="28"/>
      <c r="K236" s="28"/>
      <c r="L236" s="28"/>
      <c r="M236" s="28"/>
      <c r="N236" s="28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ht="15.75" customHeight="1">
      <c r="A237" s="6"/>
      <c r="B237" s="2" t="s">
        <v>241</v>
      </c>
      <c r="C237" s="19"/>
      <c r="D237" s="8">
        <f>K225</f>
        <v>1155500</v>
      </c>
      <c r="E237" s="8">
        <f t="shared" si="2"/>
        <v>1155500</v>
      </c>
      <c r="F237" s="28"/>
      <c r="G237" s="28"/>
      <c r="H237" s="28"/>
      <c r="I237" s="11"/>
      <c r="J237" s="28"/>
      <c r="K237" s="28"/>
      <c r="L237" s="28"/>
      <c r="M237" s="28"/>
      <c r="N237" s="28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ht="15.75" customHeight="1">
      <c r="A238" s="6"/>
      <c r="B238" s="2" t="s">
        <v>7</v>
      </c>
      <c r="C238" s="19"/>
      <c r="D238" s="8">
        <f>H225</f>
        <v>20000</v>
      </c>
      <c r="E238" s="8">
        <f t="shared" si="2"/>
        <v>20000</v>
      </c>
      <c r="F238" s="28"/>
      <c r="G238" s="28"/>
      <c r="H238" s="28"/>
      <c r="I238" s="11"/>
      <c r="J238" s="28"/>
      <c r="K238" s="28"/>
      <c r="L238" s="28"/>
      <c r="M238" s="28"/>
      <c r="N238" s="28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ht="15.75" customHeight="1">
      <c r="A239" s="6"/>
      <c r="B239" s="2" t="s">
        <v>242</v>
      </c>
      <c r="C239" s="19"/>
      <c r="D239" s="8">
        <f>E225</f>
        <v>190300</v>
      </c>
      <c r="E239" s="8">
        <f t="shared" si="2"/>
        <v>190300</v>
      </c>
      <c r="F239" s="28"/>
      <c r="G239" s="28"/>
      <c r="H239" s="28"/>
      <c r="I239" s="11"/>
      <c r="J239" s="28"/>
      <c r="K239" s="28"/>
      <c r="L239" s="28"/>
      <c r="M239" s="28"/>
      <c r="N239" s="28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ht="15.75" customHeight="1">
      <c r="A240" s="6"/>
      <c r="B240" s="2" t="s">
        <v>243</v>
      </c>
      <c r="C240" s="19"/>
      <c r="D240" s="8">
        <v>252700</v>
      </c>
      <c r="E240" s="8">
        <f t="shared" si="2"/>
        <v>252700</v>
      </c>
      <c r="F240" s="28"/>
      <c r="G240" s="28"/>
      <c r="H240" s="28"/>
      <c r="I240" s="11"/>
      <c r="J240" s="28"/>
      <c r="K240" s="28"/>
      <c r="L240" s="28"/>
      <c r="M240" s="28"/>
      <c r="N240" s="28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ht="15.75" customHeight="1">
      <c r="A241" s="6"/>
      <c r="B241" s="2" t="s">
        <v>12</v>
      </c>
      <c r="C241" s="32">
        <f t="shared" ref="C241:E241" si="4">SUM(C232:C240)</f>
        <v>10865813.952</v>
      </c>
      <c r="D241" s="3">
        <f t="shared" si="4"/>
        <v>3649386.0480000004</v>
      </c>
      <c r="E241" s="3">
        <f t="shared" si="4"/>
        <v>14515200</v>
      </c>
      <c r="F241" s="30"/>
      <c r="G241" s="30">
        <f>E241-J231</f>
        <v>0</v>
      </c>
      <c r="H241" s="30"/>
      <c r="I241" s="30"/>
      <c r="J241" s="28"/>
      <c r="K241" s="28"/>
      <c r="L241" s="28"/>
      <c r="M241" s="28"/>
      <c r="N241" s="28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ht="15.75" customHeight="1">
      <c r="A242" s="6"/>
      <c r="B242" s="6"/>
      <c r="C242" s="11"/>
      <c r="D242" s="6"/>
      <c r="E242" s="1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ht="15.75" customHeight="1">
      <c r="A243" s="6"/>
      <c r="B243" s="6"/>
      <c r="C243" s="11"/>
      <c r="D243" s="6"/>
      <c r="E243" s="6"/>
      <c r="F243" s="6"/>
      <c r="G243" s="6"/>
      <c r="H243" s="6"/>
      <c r="I243" s="6"/>
      <c r="J243" s="28"/>
      <c r="K243" s="33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ht="15.75" customHeight="1">
      <c r="A244" s="6"/>
      <c r="B244" s="6"/>
      <c r="C244" s="11"/>
      <c r="D244" s="6"/>
      <c r="E244" s="6"/>
      <c r="F244" s="6"/>
      <c r="G244" s="6"/>
      <c r="H244" s="6"/>
      <c r="I244" s="6"/>
      <c r="J244" s="28"/>
      <c r="K244" s="33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ht="15.75" customHeight="1">
      <c r="A245" s="6"/>
      <c r="B245" s="6"/>
      <c r="C245" s="11"/>
      <c r="D245" s="6"/>
      <c r="E245" s="6"/>
      <c r="F245" s="6"/>
      <c r="G245" s="6"/>
      <c r="H245" s="6"/>
      <c r="I245" s="6"/>
      <c r="J245" s="28"/>
      <c r="K245" s="33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ht="15.75" customHeight="1">
      <c r="A246" s="6"/>
      <c r="B246" s="6"/>
      <c r="C246" s="11"/>
      <c r="D246" s="6"/>
      <c r="E246" s="6"/>
      <c r="F246" s="6"/>
      <c r="G246" s="6"/>
      <c r="H246" s="6"/>
      <c r="I246" s="6"/>
      <c r="J246" s="28"/>
      <c r="K246" s="33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ht="15.75" customHeight="1">
      <c r="A247" s="6"/>
      <c r="B247" s="6"/>
      <c r="C247" s="11"/>
      <c r="D247" s="6"/>
      <c r="E247" s="6"/>
      <c r="F247" s="6"/>
      <c r="G247" s="6"/>
      <c r="H247" s="6"/>
      <c r="I247" s="6"/>
      <c r="J247" s="28"/>
      <c r="K247" s="33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ht="15.75" customHeight="1">
      <c r="A248" s="6"/>
      <c r="B248" s="6"/>
      <c r="C248" s="11"/>
      <c r="D248" s="6"/>
      <c r="E248" s="6"/>
      <c r="F248" s="6"/>
      <c r="G248" s="6"/>
      <c r="H248" s="6"/>
      <c r="I248" s="6"/>
      <c r="J248" s="6"/>
      <c r="K248" s="34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ht="15.75" customHeight="1">
      <c r="A249" s="6"/>
      <c r="B249" s="6"/>
      <c r="C249" s="11"/>
      <c r="D249" s="6"/>
      <c r="E249" s="6"/>
      <c r="F249" s="6"/>
      <c r="G249" s="6"/>
      <c r="H249" s="6"/>
      <c r="I249" s="6"/>
      <c r="J249" s="6"/>
      <c r="K249" s="34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ht="15.75" customHeight="1">
      <c r="A250" s="6"/>
      <c r="B250" s="6"/>
      <c r="C250" s="11"/>
      <c r="D250" s="6"/>
      <c r="E250" s="6"/>
      <c r="F250" s="6"/>
      <c r="G250" s="6"/>
      <c r="H250" s="6"/>
      <c r="I250" s="6"/>
      <c r="J250" s="6"/>
      <c r="K250" s="28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ht="15.75" customHeight="1">
      <c r="A251" s="6"/>
      <c r="B251" s="6"/>
      <c r="C251" s="11"/>
      <c r="D251" s="6"/>
      <c r="E251" s="6"/>
      <c r="F251" s="6"/>
      <c r="G251" s="6"/>
      <c r="H251" s="6"/>
      <c r="I251" s="6"/>
      <c r="J251" s="6"/>
      <c r="K251" s="28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ht="15.75" customHeight="1">
      <c r="A252" s="6"/>
      <c r="B252" s="6"/>
      <c r="C252" s="11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ht="15.75" customHeight="1">
      <c r="A253" s="6"/>
      <c r="B253" s="6"/>
      <c r="C253" s="11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ht="15.75" customHeight="1">
      <c r="A254" s="6"/>
      <c r="B254" s="6"/>
      <c r="C254" s="11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ht="15.75" customHeight="1">
      <c r="A255" s="6"/>
      <c r="B255" s="6"/>
      <c r="C255" s="11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ht="15.75" customHeight="1">
      <c r="A256" s="6"/>
      <c r="B256" s="6"/>
      <c r="C256" s="11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ht="15.75" customHeight="1">
      <c r="A257" s="6"/>
      <c r="B257" s="6"/>
      <c r="C257" s="11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ht="15.75" customHeight="1">
      <c r="A258" s="6"/>
      <c r="B258" s="6"/>
      <c r="C258" s="11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ht="15.75" customHeight="1">
      <c r="A259" s="6"/>
      <c r="B259" s="6"/>
      <c r="C259" s="11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ht="15.75" customHeight="1">
      <c r="A260" s="6"/>
      <c r="B260" s="6"/>
      <c r="C260" s="11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ht="15.75" customHeight="1">
      <c r="A261" s="6"/>
      <c r="B261" s="6"/>
      <c r="C261" s="11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ht="15.75" customHeight="1">
      <c r="A262" s="6"/>
      <c r="B262" s="6"/>
      <c r="C262" s="11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ht="15.75" customHeight="1">
      <c r="A263" s="6"/>
      <c r="B263" s="6"/>
      <c r="C263" s="11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ht="15.75" customHeight="1">
      <c r="A264" s="6"/>
      <c r="B264" s="6"/>
      <c r="C264" s="11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ht="15.75" customHeight="1">
      <c r="A265" s="6"/>
      <c r="B265" s="6"/>
      <c r="C265" s="11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ht="15.75" customHeight="1">
      <c r="A266" s="6"/>
      <c r="B266" s="6"/>
      <c r="C266" s="11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ht="15.75" customHeight="1">
      <c r="A267" s="6"/>
      <c r="B267" s="6"/>
      <c r="C267" s="11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ht="15.75" customHeight="1">
      <c r="A268" s="6"/>
      <c r="B268" s="6"/>
      <c r="C268" s="11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ht="15.75" customHeight="1">
      <c r="A269" s="6"/>
      <c r="B269" s="6"/>
      <c r="C269" s="11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ht="15.75" customHeight="1">
      <c r="A270" s="6"/>
      <c r="B270" s="6"/>
      <c r="C270" s="11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ht="15.75" customHeight="1">
      <c r="A271" s="6"/>
      <c r="B271" s="6"/>
      <c r="C271" s="11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ht="15.75" customHeight="1">
      <c r="A272" s="6"/>
      <c r="B272" s="6"/>
      <c r="C272" s="11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ht="15.75" customHeight="1">
      <c r="A273" s="6"/>
      <c r="B273" s="6"/>
      <c r="C273" s="11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ht="15.75" customHeight="1">
      <c r="A274" s="6"/>
      <c r="B274" s="6"/>
      <c r="C274" s="11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ht="15.75" customHeight="1">
      <c r="A275" s="6"/>
      <c r="B275" s="6"/>
      <c r="C275" s="11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ht="15.75" customHeight="1">
      <c r="A276" s="6"/>
      <c r="B276" s="6"/>
      <c r="C276" s="11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ht="15.75" customHeight="1">
      <c r="A277" s="6"/>
      <c r="B277" s="6"/>
      <c r="C277" s="11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ht="15.75" customHeight="1">
      <c r="A278" s="6"/>
      <c r="B278" s="6"/>
      <c r="C278" s="11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ht="15.75" customHeight="1">
      <c r="A279" s="6"/>
      <c r="B279" s="6"/>
      <c r="C279" s="11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ht="15.75" customHeight="1">
      <c r="A280" s="6"/>
      <c r="B280" s="6"/>
      <c r="C280" s="11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ht="15.75" customHeight="1">
      <c r="A281" s="6"/>
      <c r="B281" s="6"/>
      <c r="C281" s="11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 ht="15.75" customHeight="1">
      <c r="A282" s="6"/>
      <c r="B282" s="6"/>
      <c r="C282" s="11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 ht="15.75" customHeight="1">
      <c r="A283" s="6"/>
      <c r="B283" s="6"/>
      <c r="C283" s="11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 ht="15.75" customHeight="1">
      <c r="A284" s="6"/>
      <c r="B284" s="6"/>
      <c r="C284" s="11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 ht="15.75" customHeight="1">
      <c r="A285" s="6"/>
      <c r="B285" s="6"/>
      <c r="C285" s="11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 ht="15.75" customHeight="1">
      <c r="A286" s="6"/>
      <c r="B286" s="6"/>
      <c r="C286" s="11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 ht="15.75" customHeight="1">
      <c r="A287" s="6"/>
      <c r="B287" s="6"/>
      <c r="C287" s="11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 ht="15.75" customHeight="1">
      <c r="A288" s="6"/>
      <c r="B288" s="6"/>
      <c r="C288" s="11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 ht="15.75" customHeight="1">
      <c r="A289" s="6"/>
      <c r="B289" s="6"/>
      <c r="C289" s="11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ht="15.75" customHeight="1">
      <c r="A290" s="6"/>
      <c r="B290" s="6"/>
      <c r="C290" s="11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ht="15.75" customHeight="1">
      <c r="A291" s="6"/>
      <c r="B291" s="6"/>
      <c r="C291" s="11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ht="15.75" customHeight="1">
      <c r="A292" s="6"/>
      <c r="B292" s="6"/>
      <c r="C292" s="11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ht="15.75" customHeight="1">
      <c r="A293" s="6"/>
      <c r="B293" s="6"/>
      <c r="C293" s="11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ht="15.75" customHeight="1">
      <c r="A294" s="6"/>
      <c r="B294" s="6"/>
      <c r="C294" s="11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ht="15.75" customHeight="1">
      <c r="A295" s="6"/>
      <c r="B295" s="6"/>
      <c r="C295" s="11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ht="15.75" customHeight="1">
      <c r="A296" s="6"/>
      <c r="B296" s="6"/>
      <c r="C296" s="11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ht="15.75" customHeight="1">
      <c r="A297" s="6"/>
      <c r="B297" s="6"/>
      <c r="C297" s="11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ht="15.75" customHeight="1">
      <c r="A298" s="6"/>
      <c r="B298" s="6"/>
      <c r="C298" s="11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ht="15.75" customHeight="1">
      <c r="A299" s="6"/>
      <c r="B299" s="6"/>
      <c r="C299" s="11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ht="15.75" customHeight="1">
      <c r="A300" s="6"/>
      <c r="B300" s="6"/>
      <c r="C300" s="11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ht="15.75" customHeight="1">
      <c r="A301" s="6"/>
      <c r="B301" s="6"/>
      <c r="C301" s="11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ht="15.75" customHeight="1">
      <c r="A302" s="6"/>
      <c r="B302" s="6"/>
      <c r="C302" s="11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ht="15.75" customHeight="1">
      <c r="A303" s="6"/>
      <c r="B303" s="6"/>
      <c r="C303" s="11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ht="15.75" customHeight="1">
      <c r="A304" s="6"/>
      <c r="B304" s="6"/>
      <c r="C304" s="11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ht="15.75" customHeight="1">
      <c r="A305" s="6"/>
      <c r="B305" s="6"/>
      <c r="C305" s="11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ht="15.75" customHeight="1">
      <c r="A306" s="6"/>
      <c r="B306" s="6"/>
      <c r="C306" s="11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ht="15.75" customHeight="1">
      <c r="A307" s="6"/>
      <c r="B307" s="6"/>
      <c r="C307" s="11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ht="15.75" customHeight="1">
      <c r="A308" s="6"/>
      <c r="B308" s="6"/>
      <c r="C308" s="11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ht="15.75" customHeight="1">
      <c r="A309" s="6"/>
      <c r="B309" s="6"/>
      <c r="C309" s="11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 ht="15.75" customHeight="1">
      <c r="A310" s="6"/>
      <c r="B310" s="6"/>
      <c r="C310" s="11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 ht="15.75" customHeight="1">
      <c r="A311" s="6"/>
      <c r="B311" s="6"/>
      <c r="C311" s="11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 ht="15.75" customHeight="1">
      <c r="A312" s="6"/>
      <c r="B312" s="6"/>
      <c r="C312" s="11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 ht="15.75" customHeight="1">
      <c r="A313" s="6"/>
      <c r="B313" s="6"/>
      <c r="C313" s="11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 ht="15.75" customHeight="1">
      <c r="A314" s="6"/>
      <c r="B314" s="6"/>
      <c r="C314" s="11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ht="15.75" customHeight="1">
      <c r="A315" s="6"/>
      <c r="B315" s="6"/>
      <c r="C315" s="11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 ht="15.75" customHeight="1">
      <c r="A316" s="6"/>
      <c r="B316" s="6"/>
      <c r="C316" s="11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ht="15.75" customHeight="1">
      <c r="A317" s="6"/>
      <c r="B317" s="6"/>
      <c r="C317" s="11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ht="15.75" customHeight="1">
      <c r="A318" s="6"/>
      <c r="B318" s="6"/>
      <c r="C318" s="11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ht="15.75" customHeight="1">
      <c r="A319" s="6"/>
      <c r="B319" s="6"/>
      <c r="C319" s="11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ht="15.75" customHeight="1">
      <c r="A320" s="6"/>
      <c r="B320" s="6"/>
      <c r="C320" s="11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ht="15.75" customHeight="1">
      <c r="A321" s="6"/>
      <c r="B321" s="6"/>
      <c r="C321" s="11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ht="15.75" customHeight="1">
      <c r="A322" s="6"/>
      <c r="B322" s="6"/>
      <c r="C322" s="11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ht="15.75" customHeight="1">
      <c r="A323" s="6"/>
      <c r="B323" s="6"/>
      <c r="C323" s="11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ht="15.75" customHeight="1">
      <c r="A324" s="6"/>
      <c r="B324" s="6"/>
      <c r="C324" s="11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ht="15.75" customHeight="1">
      <c r="A325" s="6"/>
      <c r="B325" s="6"/>
      <c r="C325" s="11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 ht="15.75" customHeight="1">
      <c r="A326" s="6"/>
      <c r="B326" s="6"/>
      <c r="C326" s="11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 ht="15.75" customHeight="1">
      <c r="A327" s="6"/>
      <c r="B327" s="6"/>
      <c r="C327" s="11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ht="15.75" customHeight="1">
      <c r="A328" s="6"/>
      <c r="B328" s="6"/>
      <c r="C328" s="11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ht="15.75" customHeight="1">
      <c r="A329" s="6"/>
      <c r="B329" s="6"/>
      <c r="C329" s="11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ht="15.75" customHeight="1">
      <c r="A330" s="6"/>
      <c r="B330" s="6"/>
      <c r="C330" s="11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ht="15.75" customHeight="1">
      <c r="A331" s="6"/>
      <c r="B331" s="6"/>
      <c r="C331" s="11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ht="15.75" customHeight="1">
      <c r="A332" s="6"/>
      <c r="B332" s="6"/>
      <c r="C332" s="11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ht="15.75" customHeight="1">
      <c r="A333" s="6"/>
      <c r="B333" s="6"/>
      <c r="C333" s="11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ht="15.75" customHeight="1">
      <c r="A334" s="6"/>
      <c r="B334" s="6"/>
      <c r="C334" s="11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ht="15.75" customHeight="1">
      <c r="A335" s="6"/>
      <c r="B335" s="6"/>
      <c r="C335" s="11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ht="15.75" customHeight="1">
      <c r="A336" s="6"/>
      <c r="B336" s="6"/>
      <c r="C336" s="11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ht="15.75" customHeight="1">
      <c r="A337" s="6"/>
      <c r="B337" s="6"/>
      <c r="C337" s="11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 ht="15.75" customHeight="1">
      <c r="A338" s="6"/>
      <c r="B338" s="6"/>
      <c r="C338" s="11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 ht="15.75" customHeight="1">
      <c r="A339" s="6"/>
      <c r="B339" s="6"/>
      <c r="C339" s="11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 ht="15.75" customHeight="1">
      <c r="A340" s="6"/>
      <c r="B340" s="6"/>
      <c r="C340" s="11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 ht="15.75" customHeight="1">
      <c r="A341" s="6"/>
      <c r="B341" s="6"/>
      <c r="C341" s="11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 ht="15.75" customHeight="1">
      <c r="A342" s="6"/>
      <c r="B342" s="6"/>
      <c r="C342" s="11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ht="15.75" customHeight="1">
      <c r="A343" s="6"/>
      <c r="B343" s="6"/>
      <c r="C343" s="11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ht="15.75" customHeight="1">
      <c r="A344" s="6"/>
      <c r="B344" s="6"/>
      <c r="C344" s="11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ht="15.75" customHeight="1">
      <c r="A345" s="6"/>
      <c r="B345" s="6"/>
      <c r="C345" s="11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ht="15.75" customHeight="1">
      <c r="A346" s="6"/>
      <c r="B346" s="6"/>
      <c r="C346" s="11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ht="15.75" customHeight="1">
      <c r="A347" s="6"/>
      <c r="B347" s="6"/>
      <c r="C347" s="11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ht="15.75" customHeight="1">
      <c r="A348" s="6"/>
      <c r="B348" s="6"/>
      <c r="C348" s="11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ht="15.75" customHeight="1">
      <c r="A349" s="6"/>
      <c r="B349" s="6"/>
      <c r="C349" s="11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ht="15.75" customHeight="1">
      <c r="A350" s="6"/>
      <c r="B350" s="6"/>
      <c r="C350" s="11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ht="15.75" customHeight="1">
      <c r="A351" s="6"/>
      <c r="B351" s="6"/>
      <c r="C351" s="11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 ht="15.75" customHeight="1">
      <c r="A352" s="6"/>
      <c r="B352" s="6"/>
      <c r="C352" s="11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ht="15.75" customHeight="1">
      <c r="A353" s="6"/>
      <c r="B353" s="6"/>
      <c r="C353" s="11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 ht="15.75" customHeight="1">
      <c r="A354" s="6"/>
      <c r="B354" s="6"/>
      <c r="C354" s="11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 ht="15.75" customHeight="1">
      <c r="A355" s="6"/>
      <c r="B355" s="6"/>
      <c r="C355" s="11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ht="15.75" customHeight="1">
      <c r="A356" s="6"/>
      <c r="B356" s="6"/>
      <c r="C356" s="11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ht="15.75" customHeight="1">
      <c r="A357" s="6"/>
      <c r="B357" s="6"/>
      <c r="C357" s="11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ht="15.75" customHeight="1">
      <c r="A358" s="6"/>
      <c r="B358" s="6"/>
      <c r="C358" s="11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ht="15.75" customHeight="1">
      <c r="A359" s="6"/>
      <c r="B359" s="6"/>
      <c r="C359" s="11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ht="15.75" customHeight="1">
      <c r="A360" s="6"/>
      <c r="B360" s="6"/>
      <c r="C360" s="11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ht="15.75" customHeight="1">
      <c r="A361" s="6"/>
      <c r="B361" s="6"/>
      <c r="C361" s="11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ht="15.75" customHeight="1">
      <c r="A362" s="6"/>
      <c r="B362" s="6"/>
      <c r="C362" s="11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ht="15.75" customHeight="1">
      <c r="A363" s="6"/>
      <c r="B363" s="6"/>
      <c r="C363" s="11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ht="15.75" customHeight="1">
      <c r="A364" s="6"/>
      <c r="B364" s="6"/>
      <c r="C364" s="11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ht="15.75" customHeight="1">
      <c r="A365" s="6"/>
      <c r="B365" s="6"/>
      <c r="C365" s="11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 ht="15.75" customHeight="1">
      <c r="A366" s="6"/>
      <c r="B366" s="6"/>
      <c r="C366" s="11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 ht="15.75" customHeight="1">
      <c r="A367" s="6"/>
      <c r="B367" s="6"/>
      <c r="C367" s="11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 ht="15.75" customHeight="1">
      <c r="A368" s="6"/>
      <c r="B368" s="6"/>
      <c r="C368" s="11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 ht="15.75" customHeight="1">
      <c r="A369" s="6"/>
      <c r="B369" s="6"/>
      <c r="C369" s="11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ht="15.75" customHeight="1">
      <c r="A370" s="6"/>
      <c r="B370" s="6"/>
      <c r="C370" s="11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ht="15.75" customHeight="1">
      <c r="A371" s="6"/>
      <c r="B371" s="6"/>
      <c r="C371" s="11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ht="15.75" customHeight="1">
      <c r="A372" s="6"/>
      <c r="B372" s="6"/>
      <c r="C372" s="11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ht="15.75" customHeight="1">
      <c r="A373" s="6"/>
      <c r="B373" s="6"/>
      <c r="C373" s="11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ht="15.75" customHeight="1">
      <c r="A374" s="6"/>
      <c r="B374" s="6"/>
      <c r="C374" s="11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ht="15.75" customHeight="1">
      <c r="A375" s="6"/>
      <c r="B375" s="6"/>
      <c r="C375" s="11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ht="15.75" customHeight="1">
      <c r="A376" s="6"/>
      <c r="B376" s="6"/>
      <c r="C376" s="11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ht="15.75" customHeight="1">
      <c r="A377" s="6"/>
      <c r="B377" s="6"/>
      <c r="C377" s="11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ht="15.75" customHeight="1">
      <c r="A378" s="6"/>
      <c r="B378" s="6"/>
      <c r="C378" s="11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 ht="15.75" customHeight="1">
      <c r="A379" s="6"/>
      <c r="B379" s="6"/>
      <c r="C379" s="11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 ht="15.75" customHeight="1">
      <c r="A380" s="6"/>
      <c r="B380" s="6"/>
      <c r="C380" s="11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 ht="15.75" customHeight="1">
      <c r="A381" s="6"/>
      <c r="B381" s="6"/>
      <c r="C381" s="11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 ht="15.75" customHeight="1">
      <c r="A382" s="6"/>
      <c r="B382" s="6"/>
      <c r="C382" s="11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 ht="15.75" customHeight="1">
      <c r="A383" s="6"/>
      <c r="B383" s="6"/>
      <c r="C383" s="11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ht="15.75" customHeight="1">
      <c r="A384" s="6"/>
      <c r="B384" s="6"/>
      <c r="C384" s="11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ht="15.75" customHeight="1">
      <c r="A385" s="6"/>
      <c r="B385" s="6"/>
      <c r="C385" s="11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ht="15.75" customHeight="1">
      <c r="A386" s="6"/>
      <c r="B386" s="6"/>
      <c r="C386" s="11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ht="15.75" customHeight="1">
      <c r="A387" s="6"/>
      <c r="B387" s="6"/>
      <c r="C387" s="11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ht="15.75" customHeight="1">
      <c r="A388" s="6"/>
      <c r="B388" s="6"/>
      <c r="C388" s="11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ht="15.75" customHeight="1">
      <c r="A389" s="6"/>
      <c r="B389" s="6"/>
      <c r="C389" s="11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ht="15.75" customHeight="1">
      <c r="A390" s="6"/>
      <c r="B390" s="6"/>
      <c r="C390" s="11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ht="15.75" customHeight="1">
      <c r="A391" s="6"/>
      <c r="B391" s="6"/>
      <c r="C391" s="11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ht="15.75" customHeight="1">
      <c r="A392" s="6"/>
      <c r="B392" s="6"/>
      <c r="C392" s="11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ht="15.75" customHeight="1">
      <c r="A393" s="6"/>
      <c r="B393" s="6"/>
      <c r="C393" s="11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 ht="15.75" customHeight="1">
      <c r="A394" s="6"/>
      <c r="B394" s="6"/>
      <c r="C394" s="11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 ht="15.75" customHeight="1">
      <c r="A395" s="6"/>
      <c r="B395" s="6"/>
      <c r="C395" s="11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 ht="15.75" customHeight="1">
      <c r="A396" s="6"/>
      <c r="B396" s="6"/>
      <c r="C396" s="11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 ht="15.75" customHeight="1">
      <c r="A397" s="6"/>
      <c r="B397" s="6"/>
      <c r="C397" s="11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 ht="15.75" customHeight="1">
      <c r="A398" s="6"/>
      <c r="B398" s="6"/>
      <c r="C398" s="11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 ht="15.75" customHeight="1">
      <c r="A399" s="6"/>
      <c r="B399" s="6"/>
      <c r="C399" s="11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 ht="15.75" customHeight="1">
      <c r="A400" s="6"/>
      <c r="B400" s="6"/>
      <c r="C400" s="11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ht="15.75" customHeight="1">
      <c r="A401" s="6"/>
      <c r="B401" s="6"/>
      <c r="C401" s="11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ht="15.75" customHeight="1">
      <c r="A402" s="6"/>
      <c r="B402" s="6"/>
      <c r="C402" s="11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ht="15.75" customHeight="1">
      <c r="A403" s="6"/>
      <c r="B403" s="6"/>
      <c r="C403" s="11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ht="15.75" customHeight="1">
      <c r="A404" s="6"/>
      <c r="B404" s="6"/>
      <c r="C404" s="11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ht="15.75" customHeight="1">
      <c r="A405" s="6"/>
      <c r="B405" s="6"/>
      <c r="C405" s="11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ht="15.75" customHeight="1">
      <c r="A406" s="6"/>
      <c r="B406" s="6"/>
      <c r="C406" s="11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 ht="15.75" customHeight="1">
      <c r="A407" s="6"/>
      <c r="B407" s="6"/>
      <c r="C407" s="1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 ht="15.75" customHeight="1">
      <c r="A408" s="6"/>
      <c r="B408" s="6"/>
      <c r="C408" s="11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 ht="15.75" customHeight="1">
      <c r="A409" s="6"/>
      <c r="B409" s="6"/>
      <c r="C409" s="11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 ht="15.75" customHeight="1">
      <c r="A410" s="6"/>
      <c r="B410" s="6"/>
      <c r="C410" s="11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 ht="15.75" customHeight="1">
      <c r="A411" s="6"/>
      <c r="B411" s="6"/>
      <c r="C411" s="11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 ht="15.75" customHeight="1">
      <c r="A412" s="6"/>
      <c r="B412" s="6"/>
      <c r="C412" s="11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 ht="15.75" customHeight="1">
      <c r="A413" s="6"/>
      <c r="B413" s="6"/>
      <c r="C413" s="11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 ht="15.75" customHeight="1">
      <c r="A414" s="6"/>
      <c r="B414" s="6"/>
      <c r="C414" s="11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ht="15.75" customHeight="1">
      <c r="A415" s="6"/>
      <c r="B415" s="6"/>
      <c r="C415" s="11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ht="15.75" customHeight="1">
      <c r="A416" s="6"/>
      <c r="B416" s="6"/>
      <c r="C416" s="11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ht="15.75" customHeight="1">
      <c r="A417" s="6"/>
      <c r="B417" s="6"/>
      <c r="C417" s="11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ht="15.75" customHeight="1">
      <c r="A418" s="6"/>
      <c r="B418" s="6"/>
      <c r="C418" s="1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ht="15.75" customHeight="1">
      <c r="A419" s="6"/>
      <c r="B419" s="6"/>
      <c r="C419" s="11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ht="15.75" customHeight="1">
      <c r="A420" s="6"/>
      <c r="B420" s="6"/>
      <c r="C420" s="11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ht="15.75" customHeight="1">
      <c r="A421" s="6"/>
      <c r="B421" s="6"/>
      <c r="C421" s="11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 ht="15.75" customHeight="1">
      <c r="A422" s="6"/>
      <c r="B422" s="6"/>
      <c r="C422" s="11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 ht="15.75" customHeight="1">
      <c r="A423" s="6"/>
      <c r="B423" s="6"/>
      <c r="C423" s="11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 ht="15.75" customHeight="1">
      <c r="A424" s="6"/>
      <c r="B424" s="6"/>
      <c r="C424" s="11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 ht="15.75" customHeight="1">
      <c r="A425" s="6"/>
      <c r="B425" s="6"/>
      <c r="C425" s="11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 ht="15.75" customHeight="1">
      <c r="A426" s="6"/>
      <c r="B426" s="6"/>
      <c r="C426" s="11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 ht="15.75" customHeight="1">
      <c r="A427" s="6"/>
      <c r="B427" s="6"/>
      <c r="C427" s="11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ht="15.75" customHeight="1">
      <c r="A428" s="6"/>
      <c r="B428" s="6"/>
      <c r="C428" s="11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ht="15.75" customHeight="1">
      <c r="A429" s="6"/>
      <c r="B429" s="6"/>
      <c r="C429" s="11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ht="15.75" customHeight="1">
      <c r="A430" s="6"/>
      <c r="B430" s="6"/>
      <c r="C430" s="11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ht="15.75" customHeight="1">
      <c r="A431" s="6"/>
      <c r="B431" s="6"/>
      <c r="C431" s="11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ht="15.75" customHeight="1">
      <c r="A432" s="6"/>
      <c r="B432" s="6"/>
      <c r="C432" s="11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 ht="15.75" customHeight="1">
      <c r="A433" s="6"/>
      <c r="B433" s="6"/>
      <c r="C433" s="11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 ht="15.75" customHeight="1">
      <c r="A434" s="6"/>
      <c r="B434" s="6"/>
      <c r="C434" s="11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 ht="15.75" customHeight="1">
      <c r="A435" s="6"/>
      <c r="B435" s="6"/>
      <c r="C435" s="11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 ht="15.75" customHeight="1">
      <c r="A436" s="6"/>
      <c r="B436" s="6"/>
      <c r="C436" s="11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 ht="15.75" customHeight="1">
      <c r="A437" s="6"/>
      <c r="B437" s="6"/>
      <c r="C437" s="11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 ht="15.75" customHeight="1">
      <c r="A438" s="6"/>
      <c r="B438" s="6"/>
      <c r="C438" s="11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 ht="15.75" customHeight="1">
      <c r="A439" s="6"/>
      <c r="B439" s="6"/>
      <c r="C439" s="11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 ht="15.75" customHeight="1">
      <c r="A440" s="6"/>
      <c r="B440" s="6"/>
      <c r="C440" s="11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 ht="15.75" customHeight="1">
      <c r="A441" s="6"/>
      <c r="B441" s="6"/>
      <c r="C441" s="11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 ht="15.75" customHeight="1"/>
    <row r="443" spans="1:29" ht="15.75" customHeight="1"/>
    <row r="444" spans="1:29" ht="15.75" customHeight="1"/>
    <row r="445" spans="1:29" ht="15.75" customHeight="1"/>
    <row r="446" spans="1:29" ht="15.75" customHeight="1"/>
    <row r="447" spans="1:29" ht="15.75" customHeight="1"/>
    <row r="448" spans="1:29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A1:AC998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4.47265625" defaultRowHeight="15" customHeight="1"/>
  <cols>
    <col min="1" max="1" width="9.1015625" customWidth="1"/>
    <col min="2" max="2" width="33.26171875" customWidth="1"/>
    <col min="3" max="5" width="13.26171875" customWidth="1"/>
    <col min="6" max="6" width="9.1015625" customWidth="1"/>
    <col min="7" max="25" width="8.734375" customWidth="1"/>
  </cols>
  <sheetData>
    <row r="1" spans="1:26" ht="14.2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4.25" customHeight="1">
      <c r="A2" s="36"/>
      <c r="B2" s="37" t="s">
        <v>288</v>
      </c>
      <c r="C2" s="38"/>
      <c r="D2" s="38"/>
      <c r="E2" s="39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14.25" customHeight="1">
      <c r="A3" s="36"/>
      <c r="B3" s="40"/>
      <c r="C3" s="41"/>
      <c r="D3" s="41"/>
      <c r="E3" s="42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14.25" customHeight="1">
      <c r="A4" s="36"/>
      <c r="B4" s="43"/>
      <c r="C4" s="44" t="s">
        <v>238</v>
      </c>
      <c r="D4" s="44" t="s">
        <v>239</v>
      </c>
      <c r="E4" s="45" t="s">
        <v>230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4.25" customHeight="1">
      <c r="A5" s="36"/>
      <c r="B5" s="46" t="s">
        <v>2</v>
      </c>
      <c r="C5" s="47">
        <v>3598260</v>
      </c>
      <c r="D5" s="47"/>
      <c r="E5" s="48">
        <v>3598260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4.25" customHeight="1">
      <c r="A6" s="36"/>
      <c r="B6" s="46" t="s">
        <v>3</v>
      </c>
      <c r="C6" s="47">
        <v>1061539.2</v>
      </c>
      <c r="D6" s="47">
        <v>768700.79999999993</v>
      </c>
      <c r="E6" s="48">
        <v>1830240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4.25" customHeight="1">
      <c r="A7" s="36"/>
      <c r="B7" s="46" t="s">
        <v>5</v>
      </c>
      <c r="C7" s="47">
        <v>102660</v>
      </c>
      <c r="D7" s="47">
        <v>74340</v>
      </c>
      <c r="E7" s="48">
        <v>177000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4.25" customHeight="1">
      <c r="A8" s="36"/>
      <c r="B8" s="46" t="s">
        <v>6</v>
      </c>
      <c r="C8" s="47">
        <v>350</v>
      </c>
      <c r="D8" s="47">
        <v>0</v>
      </c>
      <c r="E8" s="48">
        <v>350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4.25" customHeight="1">
      <c r="A9" s="36"/>
      <c r="B9" s="46" t="s">
        <v>241</v>
      </c>
      <c r="C9" s="47"/>
      <c r="D9" s="47">
        <v>125000</v>
      </c>
      <c r="E9" s="48">
        <v>125000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4.25" customHeight="1">
      <c r="A10" s="36"/>
      <c r="B10" s="46" t="s">
        <v>246</v>
      </c>
      <c r="C10" s="47"/>
      <c r="D10" s="47"/>
      <c r="E10" s="48">
        <v>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4.25" customHeight="1">
      <c r="A11" s="36"/>
      <c r="B11" s="46" t="s">
        <v>242</v>
      </c>
      <c r="C11" s="47"/>
      <c r="D11" s="47">
        <v>193300</v>
      </c>
      <c r="E11" s="48">
        <v>193300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4.25" customHeight="1">
      <c r="A12" s="36"/>
      <c r="B12" s="46" t="s">
        <v>11</v>
      </c>
      <c r="C12" s="47"/>
      <c r="D12" s="47">
        <v>13000</v>
      </c>
      <c r="E12" s="48">
        <v>13000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4.25" customHeight="1">
      <c r="A13" s="36"/>
      <c r="B13" s="43" t="s">
        <v>12</v>
      </c>
      <c r="C13" s="44">
        <v>4762809.2</v>
      </c>
      <c r="D13" s="44">
        <v>1174340.7999999998</v>
      </c>
      <c r="E13" s="45">
        <v>5937150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4.25" customHeight="1">
      <c r="A14" s="36"/>
      <c r="B14" s="46"/>
      <c r="C14" s="47"/>
      <c r="D14" s="47"/>
      <c r="E14" s="48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4.25" customHeight="1">
      <c r="A15" s="36"/>
      <c r="B15" s="46"/>
      <c r="C15" s="47"/>
      <c r="D15" s="47"/>
      <c r="E15" s="48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4.25" customHeight="1">
      <c r="A16" s="36"/>
      <c r="B16" s="43" t="s">
        <v>248</v>
      </c>
      <c r="C16" s="47"/>
      <c r="D16" s="47"/>
      <c r="E16" s="48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4.25" customHeight="1">
      <c r="A17" s="36"/>
      <c r="B17" s="46" t="s">
        <v>289</v>
      </c>
      <c r="C17" s="78"/>
      <c r="D17" s="79"/>
      <c r="E17" s="80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4.25" customHeight="1">
      <c r="A18" s="36"/>
      <c r="B18" s="46" t="s">
        <v>290</v>
      </c>
      <c r="C18" s="78"/>
      <c r="D18" s="79"/>
      <c r="E18" s="80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4.25" customHeight="1">
      <c r="A19" s="36"/>
      <c r="B19" s="46"/>
      <c r="C19" s="47"/>
      <c r="D19" s="47"/>
      <c r="E19" s="48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4.25" customHeight="1">
      <c r="A20" s="36"/>
      <c r="B20" s="46"/>
      <c r="C20" s="47"/>
      <c r="D20" s="47"/>
      <c r="E20" s="48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4.25" customHeight="1">
      <c r="A21" s="36"/>
      <c r="B21" s="43" t="s">
        <v>249</v>
      </c>
      <c r="C21" s="47"/>
      <c r="D21" s="47"/>
      <c r="E21" s="48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4.25" customHeight="1">
      <c r="A22" s="36"/>
      <c r="B22" s="46" t="s">
        <v>291</v>
      </c>
      <c r="C22" s="78"/>
      <c r="D22" s="79"/>
      <c r="E22" s="80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4.25" customHeight="1">
      <c r="A23" s="36"/>
      <c r="B23" s="46" t="s">
        <v>292</v>
      </c>
      <c r="C23" s="78"/>
      <c r="D23" s="79"/>
      <c r="E23" s="80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4.25" customHeight="1">
      <c r="A24" s="36"/>
      <c r="B24" s="46" t="s">
        <v>293</v>
      </c>
      <c r="C24" s="78"/>
      <c r="D24" s="79"/>
      <c r="E24" s="80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4.25" customHeight="1">
      <c r="A25" s="36"/>
      <c r="B25" s="46"/>
      <c r="C25" s="47"/>
      <c r="D25" s="47"/>
      <c r="E25" s="48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4.25" customHeight="1">
      <c r="A26" s="36"/>
      <c r="B26" s="46"/>
      <c r="C26" s="47"/>
      <c r="D26" s="47"/>
      <c r="E26" s="48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4.25" customHeight="1">
      <c r="A27" s="36"/>
      <c r="B27" s="46" t="s">
        <v>250</v>
      </c>
      <c r="C27" s="47">
        <v>5937150</v>
      </c>
      <c r="D27" s="47"/>
      <c r="E27" s="48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4.25" customHeight="1">
      <c r="A28" s="36"/>
      <c r="B28" s="46" t="s">
        <v>224</v>
      </c>
      <c r="C28" s="47">
        <v>0</v>
      </c>
      <c r="D28" s="47"/>
      <c r="E28" s="48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4.25" customHeight="1">
      <c r="A29" s="36"/>
      <c r="B29" s="49" t="s">
        <v>251</v>
      </c>
      <c r="C29" s="50">
        <v>5937150</v>
      </c>
      <c r="D29" s="50"/>
      <c r="E29" s="51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4.2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4.2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4.2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4.2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4.2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4.2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4.2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4.2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4.2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4.2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4.2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4.2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4.2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4.2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4.2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4.2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4.2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4.2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4.2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4.2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4.2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4.2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4.2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4.2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4.2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4.2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4.2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4.2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4.2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4.2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4.2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4.2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4.2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4.2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4.2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4.2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4.2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4.2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4.2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4.2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4.2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4.2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4.2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4.2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4.2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4.2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4.2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4.2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4.2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4.2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4.2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4.2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4.2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4.2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4.2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4.2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4.2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4.2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4.2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4.2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4.2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4.2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4.2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4.2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4.2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4.2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4.2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4.2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4.2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4.2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4.2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4.2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4.2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4.2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4.2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4.2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4.2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4.2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4.2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4.2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4.2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4.2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4.2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4.2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4.2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4.2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4.2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4.2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4.2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4.2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4.2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4.2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4.2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4.2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4.2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4.2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4.2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4.2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4.2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4.2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4.2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4.2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4.2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4.2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4.2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4.2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4.2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4.2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4.2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4.2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4.2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4.2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4.2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4.2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4.2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4.2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4.2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4.2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4.2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4.2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4.2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4.2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4.2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4.2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4.2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4.2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4.2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4.2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4.2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4.2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4.2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4.2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4.2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4.2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4.2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4.2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4.2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4.2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4.2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4.2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4.2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4.2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4.2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4.2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4.2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4.2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4.2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4.2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4.2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4.2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4.2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4.2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4.2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4.2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4.2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4.2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4.2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4.2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4.2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4.2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4.2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4.2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4.2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4.2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4.2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4.2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4.2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4.2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4.2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4.2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4.2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4.2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4.2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4.2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4.2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4.2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4.2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4.2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4.2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4.2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4.2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4.2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4.2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4.2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4.2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4.2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4.2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4.2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4.2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4.2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4.2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4.2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4.2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4.2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4.2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4.2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4.2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4.2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4.2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4.2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17:E17"/>
    <mergeCell ref="C18:E18"/>
    <mergeCell ref="C22:E22"/>
    <mergeCell ref="C23:E23"/>
    <mergeCell ref="C24:E2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1000"/>
  <sheetViews>
    <sheetView workbookViewId="0"/>
  </sheetViews>
  <sheetFormatPr defaultColWidth="14.47265625" defaultRowHeight="15" customHeight="1"/>
  <cols>
    <col min="1" max="1" width="50" customWidth="1"/>
    <col min="2" max="2" width="47.26171875" customWidth="1"/>
    <col min="3" max="3" width="14.5234375" customWidth="1"/>
    <col min="4" max="4" width="12.1015625" customWidth="1"/>
    <col min="5" max="5" width="19.1015625" customWidth="1"/>
    <col min="6" max="6" width="14.5234375" customWidth="1"/>
    <col min="7" max="7" width="5.5234375" customWidth="1"/>
    <col min="8" max="8" width="0.7890625" hidden="1" customWidth="1"/>
    <col min="9" max="9" width="8.734375" hidden="1" customWidth="1"/>
    <col min="10" max="10" width="10.1015625" customWidth="1"/>
    <col min="11" max="11" width="7.7890625" customWidth="1"/>
    <col min="12" max="12" width="50" customWidth="1"/>
    <col min="13" max="13" width="9" customWidth="1"/>
    <col min="14" max="14" width="15.734375" customWidth="1"/>
    <col min="15" max="15" width="112.5234375" customWidth="1"/>
    <col min="16" max="16" width="15.734375" customWidth="1"/>
    <col min="17" max="17" width="14.5234375" customWidth="1"/>
    <col min="18" max="18" width="15.734375" customWidth="1"/>
    <col min="19" max="25" width="9.1015625" customWidth="1"/>
    <col min="26" max="26" width="8.734375" customWidth="1"/>
  </cols>
  <sheetData>
    <row r="1" spans="1:26" ht="15.75" customHeight="1">
      <c r="A1" s="53"/>
      <c r="B1" s="5" t="s">
        <v>501</v>
      </c>
      <c r="C1" s="5"/>
      <c r="D1" s="5"/>
      <c r="E1" s="11"/>
      <c r="F1" s="11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6"/>
      <c r="B2" s="5" t="s">
        <v>502</v>
      </c>
      <c r="C2" s="5"/>
      <c r="D2" s="5"/>
      <c r="E2" s="11"/>
      <c r="F2" s="11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6"/>
      <c r="B3" s="5" t="s">
        <v>503</v>
      </c>
      <c r="C3" s="5"/>
      <c r="D3" s="5"/>
      <c r="E3" s="53"/>
      <c r="F3" s="11"/>
      <c r="G3" s="6"/>
      <c r="H3" s="6"/>
      <c r="I3" s="6"/>
      <c r="J3" s="6"/>
      <c r="K3" s="6"/>
      <c r="L3" s="53"/>
      <c r="M3" s="5">
        <f t="shared" ref="M3:M244" si="0">SUM(C3:L3)</f>
        <v>0</v>
      </c>
      <c r="N3" s="5"/>
      <c r="O3" s="5"/>
      <c r="P3" s="11"/>
      <c r="Q3" s="11"/>
      <c r="R3" s="11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5" t="s">
        <v>504</v>
      </c>
      <c r="B4" s="5"/>
      <c r="C4" s="6"/>
      <c r="D4" s="6"/>
      <c r="E4" s="6"/>
      <c r="F4" s="11"/>
      <c r="G4" s="6"/>
      <c r="H4" s="6"/>
      <c r="I4" s="6"/>
      <c r="J4" s="6"/>
      <c r="K4" s="6"/>
      <c r="L4" s="6"/>
      <c r="M4" s="5">
        <f t="shared" si="0"/>
        <v>0</v>
      </c>
      <c r="N4" s="5"/>
      <c r="O4" s="5"/>
      <c r="P4" s="11"/>
      <c r="Q4" s="11"/>
      <c r="R4" s="11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35" t="s">
        <v>517</v>
      </c>
      <c r="B5" s="35"/>
      <c r="C5" s="6"/>
      <c r="D5" s="6"/>
      <c r="E5" s="6"/>
      <c r="F5" s="6"/>
      <c r="G5" s="6"/>
      <c r="H5" s="6"/>
      <c r="I5" s="6"/>
      <c r="J5" s="6"/>
      <c r="K5" s="6"/>
      <c r="L5" s="6"/>
      <c r="M5" s="5">
        <f t="shared" si="0"/>
        <v>0</v>
      </c>
      <c r="N5" s="5"/>
      <c r="O5" s="5"/>
      <c r="P5" s="53"/>
      <c r="Q5" s="53"/>
      <c r="R5" s="11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54" t="s">
        <v>495</v>
      </c>
      <c r="B6" s="55" t="s">
        <v>294</v>
      </c>
      <c r="C6" s="55">
        <v>45962</v>
      </c>
      <c r="D6" s="56">
        <v>2000</v>
      </c>
      <c r="E6" s="56" t="s">
        <v>506</v>
      </c>
      <c r="F6" s="57" t="s">
        <v>12</v>
      </c>
      <c r="G6" s="6"/>
      <c r="H6" s="6"/>
      <c r="I6" s="6"/>
      <c r="J6" s="6"/>
      <c r="K6" s="6"/>
      <c r="L6" s="5" t="s">
        <v>504</v>
      </c>
      <c r="M6" s="58">
        <f t="shared" si="0"/>
        <v>47962</v>
      </c>
      <c r="N6" s="6"/>
      <c r="O6" s="6"/>
      <c r="P6" s="6"/>
      <c r="Q6" s="6"/>
      <c r="R6" s="11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" t="s">
        <v>507</v>
      </c>
      <c r="B7" s="8" t="s">
        <v>295</v>
      </c>
      <c r="C7" s="59">
        <v>500</v>
      </c>
      <c r="D7" s="59">
        <v>500</v>
      </c>
      <c r="E7" s="59"/>
      <c r="F7" s="60">
        <f t="shared" ref="F7:F11" si="1">SUM(B7:E7)</f>
        <v>1000</v>
      </c>
      <c r="G7" s="6"/>
      <c r="H7" s="6"/>
      <c r="I7" s="6"/>
      <c r="J7" s="6"/>
      <c r="K7" s="6"/>
      <c r="L7" s="35" t="s">
        <v>518</v>
      </c>
      <c r="M7" s="30">
        <f t="shared" si="0"/>
        <v>2000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" t="s">
        <v>508</v>
      </c>
      <c r="B8" s="59" t="s">
        <v>296</v>
      </c>
      <c r="C8" s="59">
        <v>10000</v>
      </c>
      <c r="D8" s="59">
        <v>5000</v>
      </c>
      <c r="E8" s="59"/>
      <c r="F8" s="60">
        <f t="shared" si="1"/>
        <v>15000</v>
      </c>
      <c r="G8" s="6"/>
      <c r="H8" s="6"/>
      <c r="I8" s="6"/>
      <c r="J8" s="6"/>
      <c r="K8" s="6"/>
      <c r="L8" s="54" t="s">
        <v>495</v>
      </c>
      <c r="M8" s="30">
        <f t="shared" si="0"/>
        <v>30000</v>
      </c>
      <c r="N8" s="55" t="s">
        <v>505</v>
      </c>
      <c r="O8" s="56" t="s">
        <v>506</v>
      </c>
      <c r="P8" s="56">
        <v>45659</v>
      </c>
      <c r="Q8" s="56">
        <v>45871</v>
      </c>
      <c r="R8" s="57" t="s">
        <v>12</v>
      </c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" t="s">
        <v>500</v>
      </c>
      <c r="B9" s="59" t="s">
        <v>258</v>
      </c>
      <c r="C9" s="59" t="e">
        <f>#REF!</f>
        <v>#REF!</v>
      </c>
      <c r="D9" s="59">
        <v>1000</v>
      </c>
      <c r="E9" s="59"/>
      <c r="F9" s="60" t="e">
        <f t="shared" si="1"/>
        <v>#REF!</v>
      </c>
      <c r="G9" s="6"/>
      <c r="H9" s="6"/>
      <c r="I9" s="6"/>
      <c r="J9" s="6"/>
      <c r="K9" s="6"/>
      <c r="L9" s="7" t="s">
        <v>507</v>
      </c>
      <c r="M9" s="30" t="e">
        <f t="shared" si="0"/>
        <v>#REF!</v>
      </c>
      <c r="N9" s="59">
        <v>3426196</v>
      </c>
      <c r="O9" s="59">
        <v>12676588</v>
      </c>
      <c r="P9" s="59">
        <v>9424508</v>
      </c>
      <c r="Q9" s="59">
        <v>4366191.8</v>
      </c>
      <c r="R9" s="60" t="e">
        <f t="shared" ref="R9:R11" si="2">SUM(M9:Q9)</f>
        <v>#REF!</v>
      </c>
      <c r="S9" s="6"/>
      <c r="T9" s="6"/>
      <c r="U9" s="6"/>
      <c r="V9" s="6"/>
      <c r="W9" s="11"/>
      <c r="X9" s="28"/>
      <c r="Y9" s="28"/>
      <c r="Z9" s="6"/>
    </row>
    <row r="10" spans="1:26" ht="15.75" customHeight="1">
      <c r="A10" s="7" t="s">
        <v>509</v>
      </c>
      <c r="B10" s="59" t="s">
        <v>297</v>
      </c>
      <c r="C10" s="59">
        <v>500</v>
      </c>
      <c r="D10" s="59">
        <v>1000</v>
      </c>
      <c r="E10" s="59"/>
      <c r="F10" s="60">
        <f t="shared" si="1"/>
        <v>1500</v>
      </c>
      <c r="G10" s="6"/>
      <c r="H10" s="6"/>
      <c r="I10" s="6"/>
      <c r="J10" s="6"/>
      <c r="K10" s="6"/>
      <c r="L10" s="7" t="s">
        <v>508</v>
      </c>
      <c r="M10" s="30">
        <f t="shared" si="0"/>
        <v>3000</v>
      </c>
      <c r="N10" s="59">
        <v>1277229.6000000001</v>
      </c>
      <c r="O10" s="59">
        <v>3240910.08</v>
      </c>
      <c r="P10" s="59">
        <v>2175169.36</v>
      </c>
      <c r="Q10" s="59">
        <v>2048576.36</v>
      </c>
      <c r="R10" s="60">
        <f t="shared" si="2"/>
        <v>8744885.3999999985</v>
      </c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7" t="s">
        <v>5</v>
      </c>
      <c r="B11" s="59" t="s">
        <v>298</v>
      </c>
      <c r="C11" s="59">
        <v>30000</v>
      </c>
      <c r="D11" s="59">
        <v>5000</v>
      </c>
      <c r="E11" s="59"/>
      <c r="F11" s="60">
        <f t="shared" si="1"/>
        <v>35000</v>
      </c>
      <c r="G11" s="6"/>
      <c r="H11" s="6"/>
      <c r="I11" s="6"/>
      <c r="J11" s="6"/>
      <c r="K11" s="6"/>
      <c r="L11" s="7" t="s">
        <v>500</v>
      </c>
      <c r="M11" s="30">
        <f t="shared" si="0"/>
        <v>70000</v>
      </c>
      <c r="N11" s="59">
        <v>5000</v>
      </c>
      <c r="O11" s="61">
        <v>4400</v>
      </c>
      <c r="P11" s="59">
        <v>11600</v>
      </c>
      <c r="Q11" s="59">
        <v>4500</v>
      </c>
      <c r="R11" s="60">
        <f t="shared" si="2"/>
        <v>95500</v>
      </c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62" t="s">
        <v>510</v>
      </c>
      <c r="B12" s="63" t="s">
        <v>299</v>
      </c>
      <c r="C12" s="63" t="e">
        <f>SUM(C7:C11)</f>
        <v>#REF!</v>
      </c>
      <c r="D12" s="63">
        <v>10000</v>
      </c>
      <c r="E12" s="63">
        <f t="shared" ref="E12:F12" si="3">SUM(E7:E11)</f>
        <v>0</v>
      </c>
      <c r="F12" s="63" t="e">
        <f t="shared" si="3"/>
        <v>#REF!</v>
      </c>
      <c r="G12" s="6"/>
      <c r="H12" s="6"/>
      <c r="I12" s="6"/>
      <c r="J12" s="6"/>
      <c r="K12" s="6"/>
      <c r="L12" s="7" t="s">
        <v>509</v>
      </c>
      <c r="M12" s="52" t="e">
        <f t="shared" si="0"/>
        <v>#REF!</v>
      </c>
      <c r="N12" s="59"/>
      <c r="O12" s="59"/>
      <c r="P12" s="59"/>
      <c r="Q12" s="59"/>
      <c r="R12" s="60" t="e">
        <f>SUM(M12:P12)</f>
        <v>#REF!</v>
      </c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6"/>
      <c r="B13" s="64" t="s">
        <v>300</v>
      </c>
      <c r="C13" s="64"/>
      <c r="D13" s="64">
        <v>200</v>
      </c>
      <c r="E13" s="64"/>
      <c r="F13" s="64"/>
      <c r="G13" s="6"/>
      <c r="H13" s="6"/>
      <c r="I13" s="6"/>
      <c r="J13" s="6"/>
      <c r="K13" s="6"/>
      <c r="L13" s="7" t="s">
        <v>5</v>
      </c>
      <c r="M13" s="5">
        <f t="shared" si="0"/>
        <v>200</v>
      </c>
      <c r="N13" s="59">
        <v>346840</v>
      </c>
      <c r="O13" s="59">
        <v>663752</v>
      </c>
      <c r="P13" s="59">
        <v>23954</v>
      </c>
      <c r="Q13" s="59">
        <v>23200</v>
      </c>
      <c r="R13" s="60">
        <f>SUM(M13:Q13)</f>
        <v>1057946</v>
      </c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65" t="s">
        <v>519</v>
      </c>
      <c r="B14" s="64" t="s">
        <v>301</v>
      </c>
      <c r="C14" s="64"/>
      <c r="D14" s="64">
        <v>1000</v>
      </c>
      <c r="E14" s="64"/>
      <c r="F14" s="64"/>
      <c r="G14" s="6"/>
      <c r="H14" s="6"/>
      <c r="I14" s="6"/>
      <c r="J14" s="6"/>
      <c r="K14" s="6"/>
      <c r="L14" s="62" t="s">
        <v>510</v>
      </c>
      <c r="M14" s="5">
        <f t="shared" si="0"/>
        <v>1000</v>
      </c>
      <c r="N14" s="63">
        <f t="shared" ref="N14:R14" si="4">SUM(N9:N13)</f>
        <v>5055265.5999999996</v>
      </c>
      <c r="O14" s="63">
        <f t="shared" si="4"/>
        <v>16585650.08</v>
      </c>
      <c r="P14" s="63">
        <f t="shared" si="4"/>
        <v>11635231.359999999</v>
      </c>
      <c r="Q14" s="63">
        <f t="shared" si="4"/>
        <v>6442468.1600000001</v>
      </c>
      <c r="R14" s="63" t="e">
        <f t="shared" si="4"/>
        <v>#REF!</v>
      </c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54" t="s">
        <v>495</v>
      </c>
      <c r="B15" s="55" t="s">
        <v>302</v>
      </c>
      <c r="C15" s="66">
        <v>2000</v>
      </c>
      <c r="D15" s="67" t="s">
        <v>520</v>
      </c>
      <c r="E15" s="67" t="s">
        <v>506</v>
      </c>
      <c r="F15" s="68" t="s">
        <v>12</v>
      </c>
      <c r="G15" s="6"/>
      <c r="H15" s="6"/>
      <c r="I15" s="6"/>
      <c r="J15" s="6"/>
      <c r="K15" s="6"/>
      <c r="L15" s="6"/>
      <c r="M15" s="58">
        <f t="shared" si="0"/>
        <v>2000</v>
      </c>
      <c r="N15" s="64"/>
      <c r="O15" s="64"/>
      <c r="P15" s="64"/>
      <c r="Q15" s="64"/>
      <c r="R15" s="61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7" t="s">
        <v>511</v>
      </c>
      <c r="B16" s="59" t="s">
        <v>303</v>
      </c>
      <c r="C16" s="59" t="e">
        <f>#REF!</f>
        <v>#REF!</v>
      </c>
      <c r="D16" s="59">
        <v>1000</v>
      </c>
      <c r="E16" s="59"/>
      <c r="F16" s="60" t="e">
        <f t="shared" ref="F16:F22" si="5">SUM(B16:E16)</f>
        <v>#REF!</v>
      </c>
      <c r="G16" s="6"/>
      <c r="H16" s="6"/>
      <c r="I16" s="6"/>
      <c r="J16" s="6"/>
      <c r="K16" s="6"/>
      <c r="L16" s="65" t="s">
        <v>521</v>
      </c>
      <c r="M16" s="30" t="e">
        <f t="shared" si="0"/>
        <v>#REF!</v>
      </c>
      <c r="N16" s="64"/>
      <c r="O16" s="64"/>
      <c r="P16" s="64"/>
      <c r="Q16" s="64"/>
      <c r="R16" s="64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7" t="s">
        <v>240</v>
      </c>
      <c r="B17" s="59" t="s">
        <v>286</v>
      </c>
      <c r="C17" s="59" t="e">
        <f>#REF!</f>
        <v>#REF!</v>
      </c>
      <c r="D17" s="59">
        <v>1000</v>
      </c>
      <c r="E17" s="59"/>
      <c r="F17" s="60" t="e">
        <f t="shared" si="5"/>
        <v>#REF!</v>
      </c>
      <c r="G17" s="6"/>
      <c r="H17" s="6"/>
      <c r="I17" s="6"/>
      <c r="J17" s="6"/>
      <c r="K17" s="6"/>
      <c r="L17" s="54" t="s">
        <v>495</v>
      </c>
      <c r="M17" s="30" t="e">
        <f t="shared" si="0"/>
        <v>#REF!</v>
      </c>
      <c r="N17" s="66" t="s">
        <v>505</v>
      </c>
      <c r="O17" s="67" t="s">
        <v>506</v>
      </c>
      <c r="P17" s="67">
        <v>45659</v>
      </c>
      <c r="Q17" s="67">
        <v>45871</v>
      </c>
      <c r="R17" s="68" t="s">
        <v>12</v>
      </c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7" t="s">
        <v>5</v>
      </c>
      <c r="B18" s="59" t="s">
        <v>304</v>
      </c>
      <c r="C18" s="59" t="e">
        <f>#REF!</f>
        <v>#REF!</v>
      </c>
      <c r="D18" s="59">
        <v>2000</v>
      </c>
      <c r="E18" s="59"/>
      <c r="F18" s="60" t="e">
        <f t="shared" si="5"/>
        <v>#REF!</v>
      </c>
      <c r="G18" s="6"/>
      <c r="H18" s="6"/>
      <c r="I18" s="6"/>
      <c r="J18" s="6"/>
      <c r="K18" s="6"/>
      <c r="L18" s="7" t="s">
        <v>511</v>
      </c>
      <c r="M18" s="30" t="e">
        <f t="shared" si="0"/>
        <v>#REF!</v>
      </c>
      <c r="N18" s="59">
        <v>924890.4</v>
      </c>
      <c r="O18" s="59">
        <v>2346865.92</v>
      </c>
      <c r="P18" s="59">
        <v>1575122.64</v>
      </c>
      <c r="Q18" s="59">
        <v>1483451.84</v>
      </c>
      <c r="R18" s="60" t="e">
        <f>SUM(M18:Q18)</f>
        <v>#REF!</v>
      </c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7" t="s">
        <v>241</v>
      </c>
      <c r="B19" s="59" t="s">
        <v>284</v>
      </c>
      <c r="C19" s="59">
        <v>390000</v>
      </c>
      <c r="D19" s="59">
        <v>2000</v>
      </c>
      <c r="E19" s="59"/>
      <c r="F19" s="60">
        <f t="shared" si="5"/>
        <v>392000</v>
      </c>
      <c r="G19" s="6"/>
      <c r="H19" s="6"/>
      <c r="I19" s="6"/>
      <c r="J19" s="6"/>
      <c r="K19" s="6"/>
      <c r="L19" s="7" t="s">
        <v>240</v>
      </c>
      <c r="M19" s="30">
        <f t="shared" si="0"/>
        <v>784000</v>
      </c>
      <c r="N19" s="59">
        <v>3660000</v>
      </c>
      <c r="O19" s="59"/>
      <c r="P19" s="59"/>
      <c r="Q19" s="59"/>
      <c r="R19" s="60">
        <f>SUM(M19:P19)</f>
        <v>4444000</v>
      </c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7" t="s">
        <v>7</v>
      </c>
      <c r="B20" s="59" t="s">
        <v>305</v>
      </c>
      <c r="C20" s="59">
        <v>57300</v>
      </c>
      <c r="D20" s="59">
        <v>61700</v>
      </c>
      <c r="E20" s="59">
        <v>40000</v>
      </c>
      <c r="F20" s="60">
        <f t="shared" si="5"/>
        <v>159000</v>
      </c>
      <c r="G20" s="6"/>
      <c r="H20" s="6"/>
      <c r="I20" s="6"/>
      <c r="J20" s="6"/>
      <c r="K20" s="6"/>
      <c r="L20" s="7" t="s">
        <v>5</v>
      </c>
      <c r="M20" s="30">
        <f t="shared" si="0"/>
        <v>318000</v>
      </c>
      <c r="N20" s="59">
        <v>251160</v>
      </c>
      <c r="O20" s="59">
        <v>480648</v>
      </c>
      <c r="P20" s="59">
        <v>17346</v>
      </c>
      <c r="Q20" s="59">
        <v>16800</v>
      </c>
      <c r="R20" s="60">
        <f t="shared" ref="R20:R21" si="6">SUM(M20:Q20)</f>
        <v>1083954</v>
      </c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7" t="s">
        <v>4</v>
      </c>
      <c r="B21" s="59" t="s">
        <v>254</v>
      </c>
      <c r="C21" s="59">
        <v>250</v>
      </c>
      <c r="D21" s="59">
        <v>250</v>
      </c>
      <c r="E21" s="59"/>
      <c r="F21" s="60">
        <f t="shared" si="5"/>
        <v>500</v>
      </c>
      <c r="G21" s="6"/>
      <c r="H21" s="6"/>
      <c r="I21" s="6"/>
      <c r="J21" s="6"/>
      <c r="K21" s="6"/>
      <c r="L21" s="7" t="s">
        <v>241</v>
      </c>
      <c r="M21" s="30">
        <f t="shared" si="0"/>
        <v>1000</v>
      </c>
      <c r="N21" s="59">
        <v>110000</v>
      </c>
      <c r="O21" s="59">
        <v>3320000</v>
      </c>
      <c r="P21" s="59">
        <v>561900</v>
      </c>
      <c r="Q21" s="59">
        <v>1261500</v>
      </c>
      <c r="R21" s="60">
        <f t="shared" si="6"/>
        <v>5254400</v>
      </c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7" t="s">
        <v>243</v>
      </c>
      <c r="B22" s="59" t="s">
        <v>306</v>
      </c>
      <c r="C22" s="59">
        <v>1000</v>
      </c>
      <c r="D22" s="59"/>
      <c r="E22" s="59"/>
      <c r="F22" s="60">
        <f t="shared" si="5"/>
        <v>1000</v>
      </c>
      <c r="G22" s="6"/>
      <c r="H22" s="6"/>
      <c r="I22" s="6"/>
      <c r="J22" s="6"/>
      <c r="K22" s="6"/>
      <c r="L22" s="7" t="s">
        <v>246</v>
      </c>
      <c r="M22" s="30">
        <f t="shared" si="0"/>
        <v>2000</v>
      </c>
      <c r="N22" s="6"/>
      <c r="O22" s="59">
        <v>40000</v>
      </c>
      <c r="P22" s="59"/>
      <c r="Q22" s="59"/>
      <c r="R22" s="60">
        <f>SUM(M22:P22)</f>
        <v>42000</v>
      </c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7"/>
      <c r="B23" s="59" t="s">
        <v>267</v>
      </c>
      <c r="C23" s="59"/>
      <c r="D23" s="59">
        <v>5000</v>
      </c>
      <c r="E23" s="59"/>
      <c r="F23" s="60"/>
      <c r="G23" s="6"/>
      <c r="H23" s="6"/>
      <c r="I23" s="6"/>
      <c r="J23" s="6"/>
      <c r="K23" s="6"/>
      <c r="L23" s="7" t="s">
        <v>4</v>
      </c>
      <c r="M23" s="30">
        <f t="shared" si="0"/>
        <v>5000</v>
      </c>
      <c r="N23" s="59">
        <v>253500</v>
      </c>
      <c r="O23" s="59">
        <v>145100</v>
      </c>
      <c r="P23" s="59">
        <v>159550</v>
      </c>
      <c r="Q23" s="59">
        <v>175800</v>
      </c>
      <c r="R23" s="60">
        <f>SUM(M23:Q23)</f>
        <v>738950</v>
      </c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2" t="s">
        <v>512</v>
      </c>
      <c r="B24" s="69" t="s">
        <v>307</v>
      </c>
      <c r="C24" s="69">
        <v>1000</v>
      </c>
      <c r="D24" s="69">
        <v>1000</v>
      </c>
      <c r="E24" s="69">
        <f t="shared" ref="E24:F24" si="7">SUM(E16:E23)</f>
        <v>40000</v>
      </c>
      <c r="F24" s="69" t="e">
        <f t="shared" si="7"/>
        <v>#REF!</v>
      </c>
      <c r="G24" s="6"/>
      <c r="H24" s="6"/>
      <c r="I24" s="6"/>
      <c r="J24" s="6"/>
      <c r="K24" s="6"/>
      <c r="L24" s="7" t="s">
        <v>245</v>
      </c>
      <c r="M24" s="30" t="e">
        <f t="shared" si="0"/>
        <v>#REF!</v>
      </c>
      <c r="N24" s="59">
        <v>576000</v>
      </c>
      <c r="O24" s="59"/>
      <c r="P24" s="59"/>
      <c r="Q24" s="59"/>
      <c r="R24" s="60" t="e">
        <f>SUM(M24:P24)</f>
        <v>#REF!</v>
      </c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64" t="s">
        <v>308</v>
      </c>
      <c r="C25" s="64">
        <v>1000</v>
      </c>
      <c r="D25" s="64">
        <v>1000</v>
      </c>
      <c r="E25" s="64"/>
      <c r="F25" s="64"/>
      <c r="G25" s="6"/>
      <c r="H25" s="6"/>
      <c r="I25" s="6"/>
      <c r="J25" s="6"/>
      <c r="K25" s="6"/>
      <c r="L25" s="7"/>
      <c r="M25" s="5">
        <f t="shared" si="0"/>
        <v>2000</v>
      </c>
      <c r="N25" s="59"/>
      <c r="O25" s="59"/>
      <c r="P25" s="59"/>
      <c r="Q25" s="59"/>
      <c r="R25" s="60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18" t="s">
        <v>513</v>
      </c>
      <c r="B26" s="70" t="s">
        <v>309</v>
      </c>
      <c r="C26" s="70" t="e">
        <f t="shared" ref="C26:F26" si="8">C12+C24</f>
        <v>#REF!</v>
      </c>
      <c r="D26" s="70">
        <f t="shared" si="8"/>
        <v>11000</v>
      </c>
      <c r="E26" s="70">
        <f t="shared" si="8"/>
        <v>40000</v>
      </c>
      <c r="F26" s="71" t="e">
        <f t="shared" si="8"/>
        <v>#REF!</v>
      </c>
      <c r="G26" s="6">
        <v>2000</v>
      </c>
      <c r="H26" s="6"/>
      <c r="I26" s="6"/>
      <c r="J26" s="6"/>
      <c r="K26" s="6"/>
      <c r="L26" s="62" t="s">
        <v>512</v>
      </c>
      <c r="M26" s="30" t="e">
        <f t="shared" si="0"/>
        <v>#REF!</v>
      </c>
      <c r="N26" s="69">
        <f t="shared" ref="N26:P26" si="9">SUM(N18:N25)</f>
        <v>5775550.4000000004</v>
      </c>
      <c r="O26" s="69">
        <f t="shared" si="9"/>
        <v>6332613.9199999999</v>
      </c>
      <c r="P26" s="69">
        <f t="shared" si="9"/>
        <v>2313918.6399999997</v>
      </c>
      <c r="Q26" s="69">
        <f>SUM(Q18:Q23)</f>
        <v>2937551.84</v>
      </c>
      <c r="R26" s="69" t="e">
        <f>SUM(R18:R25)</f>
        <v>#REF!</v>
      </c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 t="s">
        <v>310</v>
      </c>
      <c r="C27" s="6">
        <v>7000</v>
      </c>
      <c r="D27" s="6">
        <v>3000</v>
      </c>
      <c r="E27" s="6"/>
      <c r="F27" s="6"/>
      <c r="G27" s="6"/>
      <c r="H27" s="6"/>
      <c r="I27" s="6"/>
      <c r="J27" s="6"/>
      <c r="K27" s="6"/>
      <c r="L27" s="6"/>
      <c r="M27" s="5">
        <f t="shared" si="0"/>
        <v>10000</v>
      </c>
      <c r="N27" s="64"/>
      <c r="O27" s="64"/>
      <c r="P27" s="64"/>
      <c r="Q27" s="64"/>
      <c r="R27" s="64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 t="s">
        <v>514</v>
      </c>
      <c r="B28" s="6" t="s">
        <v>263</v>
      </c>
      <c r="C28" s="6"/>
      <c r="D28" s="6">
        <v>100</v>
      </c>
      <c r="E28" s="6"/>
      <c r="F28" s="6"/>
      <c r="G28" s="6"/>
      <c r="H28" s="6"/>
      <c r="I28" s="6"/>
      <c r="J28" s="6"/>
      <c r="K28" s="6"/>
      <c r="L28" s="18" t="s">
        <v>513</v>
      </c>
      <c r="M28" s="5">
        <f t="shared" si="0"/>
        <v>100</v>
      </c>
      <c r="N28" s="70">
        <f t="shared" ref="N28:R28" si="10">N14+N26</f>
        <v>10830816</v>
      </c>
      <c r="O28" s="70">
        <f t="shared" si="10"/>
        <v>22918264</v>
      </c>
      <c r="P28" s="70">
        <f t="shared" si="10"/>
        <v>13949150</v>
      </c>
      <c r="Q28" s="70">
        <f t="shared" si="10"/>
        <v>9380020</v>
      </c>
      <c r="R28" s="71" t="e">
        <f t="shared" si="10"/>
        <v>#REF!</v>
      </c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 t="s">
        <v>515</v>
      </c>
      <c r="B29" s="6" t="s">
        <v>311</v>
      </c>
      <c r="C29" s="6"/>
      <c r="D29" s="6">
        <v>1000</v>
      </c>
      <c r="E29" s="72" t="s">
        <v>522</v>
      </c>
      <c r="F29" s="34"/>
      <c r="G29" s="6"/>
      <c r="H29" s="6"/>
      <c r="I29" s="6"/>
      <c r="J29" s="6"/>
      <c r="K29" s="6"/>
      <c r="L29" s="6"/>
      <c r="M29" s="5">
        <f t="shared" si="0"/>
        <v>1000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 t="s">
        <v>516</v>
      </c>
      <c r="B30" s="6" t="s">
        <v>312</v>
      </c>
      <c r="C30" s="6"/>
      <c r="D30" s="6">
        <v>1000</v>
      </c>
      <c r="E30" s="73" t="s">
        <v>523</v>
      </c>
      <c r="F30" s="72" t="s">
        <v>524</v>
      </c>
      <c r="G30" s="6"/>
      <c r="H30" s="6"/>
      <c r="I30" s="6"/>
      <c r="J30" s="6"/>
      <c r="K30" s="6"/>
      <c r="L30" s="6" t="s">
        <v>514</v>
      </c>
      <c r="M30" s="5">
        <f t="shared" si="0"/>
        <v>1000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 t="s">
        <v>313</v>
      </c>
      <c r="C31" s="6"/>
      <c r="D31" s="6">
        <v>50</v>
      </c>
      <c r="E31" s="6"/>
      <c r="F31" s="6"/>
      <c r="G31" s="6"/>
      <c r="H31" s="6"/>
      <c r="I31" s="6"/>
      <c r="J31" s="6"/>
      <c r="K31" s="6"/>
      <c r="L31" s="6" t="s">
        <v>515</v>
      </c>
      <c r="M31" s="5">
        <f t="shared" si="0"/>
        <v>50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 t="s">
        <v>314</v>
      </c>
      <c r="C32" s="6">
        <v>500</v>
      </c>
      <c r="D32" s="6">
        <v>500</v>
      </c>
      <c r="E32" s="6"/>
      <c r="F32" s="6"/>
      <c r="G32" s="6"/>
      <c r="H32" s="6"/>
      <c r="I32" s="6"/>
      <c r="J32" s="6"/>
      <c r="K32" s="6"/>
      <c r="L32" s="6" t="s">
        <v>516</v>
      </c>
      <c r="M32" s="5">
        <f t="shared" si="0"/>
        <v>1000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 t="s">
        <v>315</v>
      </c>
      <c r="C33" s="6">
        <v>500</v>
      </c>
      <c r="D33" s="6">
        <v>500</v>
      </c>
      <c r="E33" s="6"/>
      <c r="F33" s="6"/>
      <c r="G33" s="6"/>
      <c r="H33" s="6"/>
      <c r="I33" s="6"/>
      <c r="J33" s="6"/>
      <c r="K33" s="6"/>
      <c r="L33" s="6"/>
      <c r="M33" s="5">
        <f t="shared" si="0"/>
        <v>1000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 t="s">
        <v>316</v>
      </c>
      <c r="C34" s="6"/>
      <c r="D34" s="6">
        <v>2000</v>
      </c>
      <c r="E34" s="6"/>
      <c r="F34" s="6"/>
      <c r="G34" s="6"/>
      <c r="H34" s="6"/>
      <c r="I34" s="6"/>
      <c r="J34" s="6"/>
      <c r="K34" s="6"/>
      <c r="L34" s="6"/>
      <c r="M34" s="5">
        <f t="shared" si="0"/>
        <v>2000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 t="s">
        <v>317</v>
      </c>
      <c r="C35" s="6"/>
      <c r="D35" s="6">
        <v>1000</v>
      </c>
      <c r="E35" s="6"/>
      <c r="F35" s="6"/>
      <c r="G35" s="6"/>
      <c r="H35" s="6"/>
      <c r="I35" s="6"/>
      <c r="J35" s="6"/>
      <c r="K35" s="6"/>
      <c r="L35" s="6"/>
      <c r="M35" s="5">
        <f t="shared" si="0"/>
        <v>1000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 t="s">
        <v>318</v>
      </c>
      <c r="C36" s="6"/>
      <c r="D36" s="11">
        <v>1000</v>
      </c>
      <c r="E36" s="6"/>
      <c r="F36" s="6"/>
      <c r="G36" s="6"/>
      <c r="H36" s="6"/>
      <c r="I36" s="6"/>
      <c r="J36" s="6"/>
      <c r="K36" s="6"/>
      <c r="L36" s="6"/>
      <c r="M36" s="5">
        <f t="shared" si="0"/>
        <v>1000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 t="s">
        <v>319</v>
      </c>
      <c r="C37" s="6">
        <v>2100</v>
      </c>
      <c r="D37" s="6"/>
      <c r="E37" s="6"/>
      <c r="F37" s="6"/>
      <c r="G37" s="6"/>
      <c r="H37" s="6"/>
      <c r="I37" s="6"/>
      <c r="J37" s="6"/>
      <c r="K37" s="6"/>
      <c r="L37" s="6"/>
      <c r="M37" s="5">
        <f t="shared" si="0"/>
        <v>2100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 t="s">
        <v>320</v>
      </c>
      <c r="C38" s="6"/>
      <c r="D38" s="6">
        <v>2000</v>
      </c>
      <c r="E38" s="6"/>
      <c r="F38" s="6"/>
      <c r="G38" s="6"/>
      <c r="H38" s="6"/>
      <c r="I38" s="6"/>
      <c r="J38" s="6"/>
      <c r="K38" s="6"/>
      <c r="L38" s="6"/>
      <c r="M38" s="5">
        <f t="shared" si="0"/>
        <v>2000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 t="s">
        <v>321</v>
      </c>
      <c r="C39" s="6"/>
      <c r="D39" s="6">
        <v>1000</v>
      </c>
      <c r="E39" s="6"/>
      <c r="F39" s="6"/>
      <c r="G39" s="6"/>
      <c r="H39" s="6"/>
      <c r="I39" s="6"/>
      <c r="J39" s="6"/>
      <c r="K39" s="6"/>
      <c r="L39" s="6"/>
      <c r="M39" s="5">
        <f t="shared" si="0"/>
        <v>1000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 t="s">
        <v>322</v>
      </c>
      <c r="C40" s="6"/>
      <c r="D40" s="6">
        <v>2000</v>
      </c>
      <c r="E40" s="6"/>
      <c r="F40" s="6"/>
      <c r="G40" s="6"/>
      <c r="H40" s="6"/>
      <c r="I40" s="6"/>
      <c r="J40" s="6"/>
      <c r="K40" s="6"/>
      <c r="L40" s="6"/>
      <c r="M40" s="5">
        <f t="shared" si="0"/>
        <v>2000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 t="s">
        <v>323</v>
      </c>
      <c r="C41" s="6">
        <v>1000</v>
      </c>
      <c r="D41" s="6">
        <v>1000</v>
      </c>
      <c r="E41" s="6"/>
      <c r="F41" s="6"/>
      <c r="G41" s="6"/>
      <c r="H41" s="6"/>
      <c r="I41" s="6"/>
      <c r="J41" s="6"/>
      <c r="K41" s="6"/>
      <c r="L41" s="6"/>
      <c r="M41" s="5">
        <f t="shared" si="0"/>
        <v>2000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 t="s">
        <v>324</v>
      </c>
      <c r="C42" s="6">
        <v>10000</v>
      </c>
      <c r="D42" s="6">
        <v>1000</v>
      </c>
      <c r="E42" s="6"/>
      <c r="F42" s="6"/>
      <c r="G42" s="6"/>
      <c r="H42" s="6"/>
      <c r="I42" s="6"/>
      <c r="J42" s="6"/>
      <c r="K42" s="6"/>
      <c r="L42" s="6"/>
      <c r="M42" s="5">
        <f t="shared" si="0"/>
        <v>11000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 t="s">
        <v>325</v>
      </c>
      <c r="C43" s="6"/>
      <c r="D43" s="6">
        <v>1000</v>
      </c>
      <c r="E43" s="6"/>
      <c r="F43" s="6">
        <v>5000</v>
      </c>
      <c r="G43" s="6"/>
      <c r="H43" s="6"/>
      <c r="I43" s="6"/>
      <c r="J43" s="6"/>
      <c r="K43" s="6"/>
      <c r="L43" s="6"/>
      <c r="M43" s="5">
        <f t="shared" si="0"/>
        <v>6000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 t="s">
        <v>326</v>
      </c>
      <c r="C44" s="6"/>
      <c r="D44" s="6">
        <v>5000</v>
      </c>
      <c r="E44" s="6"/>
      <c r="F44" s="6"/>
      <c r="G44" s="6"/>
      <c r="H44" s="6"/>
      <c r="I44" s="6"/>
      <c r="J44" s="6"/>
      <c r="K44" s="6"/>
      <c r="L44" s="6"/>
      <c r="M44" s="5">
        <f t="shared" si="0"/>
        <v>5000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 t="s">
        <v>327</v>
      </c>
      <c r="C45" s="6"/>
      <c r="D45" s="6">
        <v>5000</v>
      </c>
      <c r="E45" s="6"/>
      <c r="F45" s="6"/>
      <c r="G45" s="6"/>
      <c r="H45" s="6"/>
      <c r="I45" s="6"/>
      <c r="J45" s="6"/>
      <c r="K45" s="6">
        <v>5000</v>
      </c>
      <c r="L45" s="6"/>
      <c r="M45" s="5">
        <f t="shared" si="0"/>
        <v>10000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 t="s">
        <v>328</v>
      </c>
      <c r="C46" s="6">
        <v>208000</v>
      </c>
      <c r="D46" s="6">
        <v>12000</v>
      </c>
      <c r="E46" s="6"/>
      <c r="F46" s="6">
        <v>50000</v>
      </c>
      <c r="G46" s="6"/>
      <c r="H46" s="6"/>
      <c r="I46" s="6"/>
      <c r="J46" s="6"/>
      <c r="K46" s="6"/>
      <c r="L46" s="6"/>
      <c r="M46" s="5">
        <f t="shared" si="0"/>
        <v>270000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 t="s">
        <v>329</v>
      </c>
      <c r="C47" s="6">
        <v>5000</v>
      </c>
      <c r="D47" s="6">
        <v>5000</v>
      </c>
      <c r="E47" s="6"/>
      <c r="F47" s="6"/>
      <c r="G47" s="6"/>
      <c r="H47" s="6"/>
      <c r="I47" s="6"/>
      <c r="J47" s="6"/>
      <c r="K47" s="6"/>
      <c r="L47" s="6"/>
      <c r="M47" s="5">
        <f t="shared" si="0"/>
        <v>10000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 t="s">
        <v>330</v>
      </c>
      <c r="C48" s="6">
        <v>10000</v>
      </c>
      <c r="D48" s="6"/>
      <c r="E48" s="6"/>
      <c r="F48" s="6"/>
      <c r="G48" s="6"/>
      <c r="H48" s="6"/>
      <c r="I48" s="6"/>
      <c r="J48" s="6"/>
      <c r="K48" s="6"/>
      <c r="L48" s="6"/>
      <c r="M48" s="5">
        <f t="shared" si="0"/>
        <v>10000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 t="s">
        <v>331</v>
      </c>
      <c r="C49" s="6">
        <v>2000</v>
      </c>
      <c r="D49" s="6">
        <v>2000</v>
      </c>
      <c r="E49" s="6"/>
      <c r="F49" s="6"/>
      <c r="G49" s="6"/>
      <c r="H49" s="6"/>
      <c r="I49" s="6"/>
      <c r="J49" s="6"/>
      <c r="K49" s="6"/>
      <c r="L49" s="6"/>
      <c r="M49" s="5">
        <f t="shared" si="0"/>
        <v>4000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 t="s">
        <v>332</v>
      </c>
      <c r="C50" s="6">
        <v>50000</v>
      </c>
      <c r="D50" s="6"/>
      <c r="E50" s="6"/>
      <c r="F50" s="6"/>
      <c r="G50" s="6"/>
      <c r="H50" s="6"/>
      <c r="I50" s="6"/>
      <c r="J50" s="6"/>
      <c r="K50" s="6"/>
      <c r="L50" s="6"/>
      <c r="M50" s="5">
        <f t="shared" si="0"/>
        <v>50000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 t="s">
        <v>333</v>
      </c>
      <c r="C51" s="6">
        <v>4000</v>
      </c>
      <c r="D51" s="6">
        <v>4000</v>
      </c>
      <c r="E51" s="6"/>
      <c r="F51" s="6"/>
      <c r="G51" s="6"/>
      <c r="H51" s="6"/>
      <c r="I51" s="6"/>
      <c r="J51" s="6"/>
      <c r="K51" s="6"/>
      <c r="L51" s="6"/>
      <c r="M51" s="5">
        <f t="shared" si="0"/>
        <v>8000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 t="s">
        <v>334</v>
      </c>
      <c r="C52" s="6"/>
      <c r="D52" s="6">
        <v>1000</v>
      </c>
      <c r="E52" s="6"/>
      <c r="F52" s="6"/>
      <c r="G52" s="6"/>
      <c r="H52" s="6"/>
      <c r="I52" s="6"/>
      <c r="J52" s="6"/>
      <c r="K52" s="6"/>
      <c r="L52" s="6"/>
      <c r="M52" s="5">
        <f t="shared" si="0"/>
        <v>1000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 t="s">
        <v>270</v>
      </c>
      <c r="C53" s="6"/>
      <c r="D53" s="6">
        <v>30000</v>
      </c>
      <c r="E53" s="6"/>
      <c r="F53" s="6"/>
      <c r="G53" s="6"/>
      <c r="H53" s="6"/>
      <c r="I53" s="6"/>
      <c r="J53" s="6"/>
      <c r="K53" s="6"/>
      <c r="L53" s="6"/>
      <c r="M53" s="5">
        <f t="shared" si="0"/>
        <v>30000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 t="s">
        <v>335</v>
      </c>
      <c r="C54" s="6"/>
      <c r="D54" s="6">
        <v>2000</v>
      </c>
      <c r="E54" s="6"/>
      <c r="F54" s="6"/>
      <c r="G54" s="6"/>
      <c r="H54" s="6"/>
      <c r="I54" s="6"/>
      <c r="J54" s="6"/>
      <c r="K54" s="6"/>
      <c r="L54" s="6"/>
      <c r="M54" s="5">
        <f t="shared" si="0"/>
        <v>2000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 t="s">
        <v>336</v>
      </c>
      <c r="C55" s="6"/>
      <c r="D55" s="6">
        <v>10000</v>
      </c>
      <c r="E55" s="6"/>
      <c r="F55" s="6"/>
      <c r="G55" s="6"/>
      <c r="H55" s="6"/>
      <c r="I55" s="6"/>
      <c r="J55" s="6"/>
      <c r="K55" s="6"/>
      <c r="L55" s="6"/>
      <c r="M55" s="5">
        <f t="shared" si="0"/>
        <v>10000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 t="s">
        <v>337</v>
      </c>
      <c r="C56" s="6">
        <v>2500</v>
      </c>
      <c r="D56" s="6">
        <v>2500</v>
      </c>
      <c r="E56" s="6"/>
      <c r="F56" s="6"/>
      <c r="G56" s="6"/>
      <c r="H56" s="6"/>
      <c r="I56" s="6"/>
      <c r="J56" s="6"/>
      <c r="K56" s="6"/>
      <c r="L56" s="6"/>
      <c r="M56" s="5">
        <f t="shared" si="0"/>
        <v>5000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 t="s">
        <v>338</v>
      </c>
      <c r="C57" s="6">
        <v>350000</v>
      </c>
      <c r="D57" s="6">
        <v>350000</v>
      </c>
      <c r="E57" s="6"/>
      <c r="F57" s="6"/>
      <c r="G57" s="6"/>
      <c r="H57" s="6"/>
      <c r="I57" s="6"/>
      <c r="J57" s="6"/>
      <c r="K57" s="6"/>
      <c r="L57" s="6"/>
      <c r="M57" s="5">
        <f t="shared" si="0"/>
        <v>700000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 t="s">
        <v>339</v>
      </c>
      <c r="C58" s="6"/>
      <c r="D58" s="6">
        <v>1200</v>
      </c>
      <c r="E58" s="6"/>
      <c r="F58" s="6"/>
      <c r="G58" s="6"/>
      <c r="H58" s="6"/>
      <c r="I58" s="6"/>
      <c r="J58" s="6"/>
      <c r="K58" s="6"/>
      <c r="L58" s="6"/>
      <c r="M58" s="5">
        <f t="shared" si="0"/>
        <v>1200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 t="s">
        <v>340</v>
      </c>
      <c r="C59" s="6"/>
      <c r="D59" s="6">
        <v>2000</v>
      </c>
      <c r="E59" s="6"/>
      <c r="F59" s="6"/>
      <c r="G59" s="6"/>
      <c r="H59" s="6"/>
      <c r="I59" s="6"/>
      <c r="J59" s="6"/>
      <c r="K59" s="6"/>
      <c r="L59" s="6"/>
      <c r="M59" s="5">
        <f t="shared" si="0"/>
        <v>2000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 t="s">
        <v>341</v>
      </c>
      <c r="C60" s="6"/>
      <c r="D60" s="6">
        <v>500</v>
      </c>
      <c r="E60" s="6"/>
      <c r="F60" s="6"/>
      <c r="G60" s="6"/>
      <c r="H60" s="6"/>
      <c r="I60" s="6"/>
      <c r="J60" s="6"/>
      <c r="K60" s="6"/>
      <c r="L60" s="6"/>
      <c r="M60" s="5">
        <f t="shared" si="0"/>
        <v>500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 t="s">
        <v>342</v>
      </c>
      <c r="C61" s="6"/>
      <c r="D61" s="6">
        <v>2000</v>
      </c>
      <c r="E61" s="6"/>
      <c r="F61" s="6"/>
      <c r="G61" s="6"/>
      <c r="H61" s="6"/>
      <c r="I61" s="6"/>
      <c r="J61" s="6"/>
      <c r="K61" s="6"/>
      <c r="L61" s="6"/>
      <c r="M61" s="5">
        <f t="shared" si="0"/>
        <v>2000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 t="s">
        <v>343</v>
      </c>
      <c r="C62" s="6"/>
      <c r="D62" s="6">
        <v>1000</v>
      </c>
      <c r="E62" s="6"/>
      <c r="F62" s="6"/>
      <c r="G62" s="6"/>
      <c r="H62" s="6"/>
      <c r="I62" s="6"/>
      <c r="J62" s="6"/>
      <c r="K62" s="6"/>
      <c r="L62" s="6"/>
      <c r="M62" s="5">
        <f t="shared" si="0"/>
        <v>1000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 t="s">
        <v>344</v>
      </c>
      <c r="C63" s="6">
        <v>2000</v>
      </c>
      <c r="D63" s="6">
        <v>2000</v>
      </c>
      <c r="E63" s="6"/>
      <c r="F63" s="6"/>
      <c r="G63" s="6"/>
      <c r="H63" s="6"/>
      <c r="I63" s="6"/>
      <c r="J63" s="6"/>
      <c r="K63" s="6"/>
      <c r="L63" s="6"/>
      <c r="M63" s="5">
        <f t="shared" si="0"/>
        <v>4000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 t="s">
        <v>345</v>
      </c>
      <c r="C64" s="6"/>
      <c r="D64" s="6">
        <v>10000</v>
      </c>
      <c r="E64" s="6"/>
      <c r="F64" s="6"/>
      <c r="G64" s="6"/>
      <c r="H64" s="6"/>
      <c r="I64" s="6"/>
      <c r="J64" s="6"/>
      <c r="K64" s="6"/>
      <c r="L64" s="6"/>
      <c r="M64" s="5">
        <f t="shared" si="0"/>
        <v>10000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 t="s">
        <v>346</v>
      </c>
      <c r="C65" s="6">
        <v>25000</v>
      </c>
      <c r="D65" s="6"/>
      <c r="E65" s="6"/>
      <c r="F65" s="6"/>
      <c r="G65" s="6"/>
      <c r="H65" s="6"/>
      <c r="I65" s="6"/>
      <c r="J65" s="6"/>
      <c r="K65" s="6"/>
      <c r="L65" s="6"/>
      <c r="M65" s="5">
        <f t="shared" si="0"/>
        <v>25000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 t="s">
        <v>347</v>
      </c>
      <c r="C66" s="6">
        <v>5000</v>
      </c>
      <c r="D66" s="6">
        <v>2000</v>
      </c>
      <c r="E66" s="6"/>
      <c r="F66" s="6"/>
      <c r="G66" s="6"/>
      <c r="H66" s="6"/>
      <c r="I66" s="6"/>
      <c r="J66" s="6"/>
      <c r="K66" s="6"/>
      <c r="L66" s="6"/>
      <c r="M66" s="5">
        <f t="shared" si="0"/>
        <v>7000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 t="s">
        <v>348</v>
      </c>
      <c r="C67" s="6"/>
      <c r="D67" s="6">
        <v>500</v>
      </c>
      <c r="E67" s="6"/>
      <c r="F67" s="6"/>
      <c r="G67" s="6"/>
      <c r="H67" s="6"/>
      <c r="I67" s="6"/>
      <c r="J67" s="6"/>
      <c r="K67" s="6"/>
      <c r="L67" s="6"/>
      <c r="M67" s="5">
        <f t="shared" si="0"/>
        <v>500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 t="s">
        <v>261</v>
      </c>
      <c r="C68" s="6">
        <v>5000</v>
      </c>
      <c r="D68" s="6"/>
      <c r="E68" s="6"/>
      <c r="F68" s="6"/>
      <c r="G68" s="6"/>
      <c r="H68" s="6"/>
      <c r="I68" s="6"/>
      <c r="J68" s="6"/>
      <c r="K68" s="6"/>
      <c r="L68" s="6"/>
      <c r="M68" s="5">
        <f t="shared" si="0"/>
        <v>5000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 t="s">
        <v>349</v>
      </c>
      <c r="C69" s="6"/>
      <c r="D69" s="6">
        <v>2000</v>
      </c>
      <c r="E69" s="6"/>
      <c r="F69" s="6"/>
      <c r="G69" s="6"/>
      <c r="H69" s="6"/>
      <c r="I69" s="6"/>
      <c r="J69" s="6"/>
      <c r="K69" s="6"/>
      <c r="L69" s="6"/>
      <c r="M69" s="5">
        <f t="shared" si="0"/>
        <v>2000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 t="s">
        <v>350</v>
      </c>
      <c r="C70" s="6">
        <v>1000</v>
      </c>
      <c r="D70" s="6"/>
      <c r="E70" s="6"/>
      <c r="F70" s="6"/>
      <c r="G70" s="6"/>
      <c r="H70" s="6"/>
      <c r="I70" s="6"/>
      <c r="J70" s="6"/>
      <c r="K70" s="6"/>
      <c r="L70" s="6"/>
      <c r="M70" s="5">
        <f t="shared" si="0"/>
        <v>1000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 t="s">
        <v>351</v>
      </c>
      <c r="C71" s="6"/>
      <c r="D71" s="6">
        <v>10000</v>
      </c>
      <c r="E71" s="6"/>
      <c r="F71" s="6"/>
      <c r="G71" s="6"/>
      <c r="H71" s="6"/>
      <c r="I71" s="6"/>
      <c r="J71" s="6"/>
      <c r="K71" s="6"/>
      <c r="L71" s="6"/>
      <c r="M71" s="5">
        <f t="shared" si="0"/>
        <v>10000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 t="s">
        <v>352</v>
      </c>
      <c r="C72" s="6"/>
      <c r="D72" s="6">
        <v>10000</v>
      </c>
      <c r="E72" s="6"/>
      <c r="F72" s="6"/>
      <c r="G72" s="6"/>
      <c r="H72" s="6"/>
      <c r="I72" s="6"/>
      <c r="J72" s="6"/>
      <c r="K72" s="6"/>
      <c r="L72" s="6"/>
      <c r="M72" s="5">
        <f t="shared" si="0"/>
        <v>10000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 t="s">
        <v>353</v>
      </c>
      <c r="C73" s="6">
        <v>50000</v>
      </c>
      <c r="D73" s="6">
        <v>50000</v>
      </c>
      <c r="E73" s="6"/>
      <c r="F73" s="6"/>
      <c r="G73" s="6"/>
      <c r="H73" s="6"/>
      <c r="I73" s="6"/>
      <c r="J73" s="6"/>
      <c r="K73" s="6"/>
      <c r="L73" s="6"/>
      <c r="M73" s="5">
        <f t="shared" si="0"/>
        <v>100000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 t="s">
        <v>354</v>
      </c>
      <c r="C74" s="6">
        <v>1000</v>
      </c>
      <c r="D74" s="6">
        <v>1000</v>
      </c>
      <c r="E74" s="6"/>
      <c r="F74" s="6"/>
      <c r="G74" s="6"/>
      <c r="H74" s="6"/>
      <c r="I74" s="6"/>
      <c r="J74" s="6"/>
      <c r="K74" s="6"/>
      <c r="L74" s="6"/>
      <c r="M74" s="5">
        <f t="shared" si="0"/>
        <v>2000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 t="s">
        <v>355</v>
      </c>
      <c r="C75" s="6"/>
      <c r="D75" s="6">
        <v>2000</v>
      </c>
      <c r="E75" s="6"/>
      <c r="F75" s="6"/>
      <c r="G75" s="6"/>
      <c r="H75" s="6"/>
      <c r="I75" s="6"/>
      <c r="J75" s="6"/>
      <c r="K75" s="6"/>
      <c r="L75" s="6"/>
      <c r="M75" s="5">
        <f t="shared" si="0"/>
        <v>2000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 t="s">
        <v>356</v>
      </c>
      <c r="C76" s="6">
        <v>10000</v>
      </c>
      <c r="D76" s="6"/>
      <c r="E76" s="6"/>
      <c r="F76" s="6"/>
      <c r="G76" s="6"/>
      <c r="H76" s="6"/>
      <c r="I76" s="6"/>
      <c r="J76" s="6"/>
      <c r="K76" s="6"/>
      <c r="L76" s="6"/>
      <c r="M76" s="5">
        <f t="shared" si="0"/>
        <v>10000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 t="s">
        <v>264</v>
      </c>
      <c r="C77" s="6">
        <v>12000</v>
      </c>
      <c r="D77" s="6">
        <v>12000</v>
      </c>
      <c r="E77" s="6"/>
      <c r="F77" s="6"/>
      <c r="G77" s="6"/>
      <c r="H77" s="6"/>
      <c r="I77" s="6"/>
      <c r="J77" s="6"/>
      <c r="K77" s="6"/>
      <c r="L77" s="6"/>
      <c r="M77" s="5">
        <f t="shared" si="0"/>
        <v>24000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 t="s">
        <v>357</v>
      </c>
      <c r="C78" s="6">
        <v>18000</v>
      </c>
      <c r="D78" s="6"/>
      <c r="E78" s="6"/>
      <c r="F78" s="6"/>
      <c r="G78" s="6"/>
      <c r="H78" s="6"/>
      <c r="I78" s="6"/>
      <c r="J78" s="6"/>
      <c r="K78" s="6"/>
      <c r="L78" s="6"/>
      <c r="M78" s="5">
        <f t="shared" si="0"/>
        <v>18000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 t="s">
        <v>358</v>
      </c>
      <c r="C79" s="6"/>
      <c r="D79" s="6">
        <v>2000</v>
      </c>
      <c r="E79" s="6"/>
      <c r="F79" s="6"/>
      <c r="G79" s="6"/>
      <c r="H79" s="6"/>
      <c r="I79" s="6"/>
      <c r="J79" s="6"/>
      <c r="K79" s="6"/>
      <c r="L79" s="6"/>
      <c r="M79" s="5">
        <f t="shared" si="0"/>
        <v>2000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 t="s">
        <v>359</v>
      </c>
      <c r="C80" s="6"/>
      <c r="D80" s="6">
        <v>2000</v>
      </c>
      <c r="E80" s="6"/>
      <c r="F80" s="6"/>
      <c r="G80" s="6"/>
      <c r="H80" s="6"/>
      <c r="I80" s="6"/>
      <c r="J80" s="6"/>
      <c r="K80" s="6"/>
      <c r="L80" s="6"/>
      <c r="M80" s="5">
        <f t="shared" si="0"/>
        <v>2000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 t="s">
        <v>360</v>
      </c>
      <c r="C81" s="6">
        <v>500</v>
      </c>
      <c r="D81" s="6">
        <v>4500</v>
      </c>
      <c r="E81" s="6"/>
      <c r="F81" s="6"/>
      <c r="G81" s="6"/>
      <c r="H81" s="6"/>
      <c r="I81" s="6"/>
      <c r="J81" s="6"/>
      <c r="K81" s="6"/>
      <c r="L81" s="6"/>
      <c r="M81" s="5">
        <f t="shared" si="0"/>
        <v>5000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 t="s">
        <v>255</v>
      </c>
      <c r="C82" s="6"/>
      <c r="D82" s="6">
        <v>2000</v>
      </c>
      <c r="E82" s="6"/>
      <c r="F82" s="6"/>
      <c r="G82" s="6"/>
      <c r="H82" s="6"/>
      <c r="I82" s="6"/>
      <c r="J82" s="6"/>
      <c r="K82" s="6"/>
      <c r="L82" s="6"/>
      <c r="M82" s="5">
        <f t="shared" si="0"/>
        <v>2000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 t="s">
        <v>361</v>
      </c>
      <c r="C83" s="6">
        <v>1000</v>
      </c>
      <c r="D83" s="6">
        <v>9000</v>
      </c>
      <c r="E83" s="6"/>
      <c r="F83" s="6"/>
      <c r="G83" s="6"/>
      <c r="H83" s="6"/>
      <c r="I83" s="6"/>
      <c r="J83" s="6"/>
      <c r="K83" s="6"/>
      <c r="L83" s="6"/>
      <c r="M83" s="5">
        <f t="shared" si="0"/>
        <v>10000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 t="s">
        <v>362</v>
      </c>
      <c r="C84" s="6">
        <v>100000</v>
      </c>
      <c r="D84" s="6">
        <v>100000</v>
      </c>
      <c r="E84" s="6"/>
      <c r="F84" s="6"/>
      <c r="G84" s="6"/>
      <c r="H84" s="6"/>
      <c r="I84" s="6"/>
      <c r="J84" s="6"/>
      <c r="K84" s="6">
        <v>200000</v>
      </c>
      <c r="L84" s="6"/>
      <c r="M84" s="5">
        <f t="shared" si="0"/>
        <v>400000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 t="s">
        <v>363</v>
      </c>
      <c r="C85" s="6"/>
      <c r="D85" s="6">
        <v>1000</v>
      </c>
      <c r="E85" s="6"/>
      <c r="F85" s="6"/>
      <c r="G85" s="6"/>
      <c r="H85" s="6"/>
      <c r="I85" s="6"/>
      <c r="J85" s="6"/>
      <c r="K85" s="6"/>
      <c r="L85" s="6"/>
      <c r="M85" s="5">
        <f t="shared" si="0"/>
        <v>1000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 t="s">
        <v>364</v>
      </c>
      <c r="C86" s="6">
        <v>7500</v>
      </c>
      <c r="D86" s="6">
        <v>7500</v>
      </c>
      <c r="E86" s="6"/>
      <c r="F86" s="6"/>
      <c r="G86" s="6"/>
      <c r="H86" s="6"/>
      <c r="I86" s="6"/>
      <c r="J86" s="6"/>
      <c r="K86" s="6"/>
      <c r="L86" s="6"/>
      <c r="M86" s="5">
        <f t="shared" si="0"/>
        <v>15000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 t="s">
        <v>365</v>
      </c>
      <c r="C87" s="6"/>
      <c r="D87" s="6">
        <v>1000</v>
      </c>
      <c r="E87" s="6"/>
      <c r="F87" s="6"/>
      <c r="G87" s="6"/>
      <c r="H87" s="6"/>
      <c r="I87" s="6"/>
      <c r="J87" s="6"/>
      <c r="K87" s="6"/>
      <c r="L87" s="6"/>
      <c r="M87" s="5">
        <f t="shared" si="0"/>
        <v>1000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 t="s">
        <v>366</v>
      </c>
      <c r="C88" s="6"/>
      <c r="D88" s="6">
        <v>3000</v>
      </c>
      <c r="E88" s="6"/>
      <c r="F88" s="6"/>
      <c r="G88" s="6"/>
      <c r="H88" s="6"/>
      <c r="I88" s="6"/>
      <c r="J88" s="6"/>
      <c r="K88" s="6"/>
      <c r="L88" s="6"/>
      <c r="M88" s="5">
        <f t="shared" si="0"/>
        <v>3000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 t="s">
        <v>367</v>
      </c>
      <c r="C89" s="6">
        <v>1000</v>
      </c>
      <c r="D89" s="6">
        <v>1000</v>
      </c>
      <c r="E89" s="6"/>
      <c r="F89" s="6"/>
      <c r="G89" s="6"/>
      <c r="H89" s="6"/>
      <c r="I89" s="6"/>
      <c r="J89" s="6"/>
      <c r="K89" s="6"/>
      <c r="L89" s="6"/>
      <c r="M89" s="5">
        <f t="shared" si="0"/>
        <v>2000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 t="s">
        <v>368</v>
      </c>
      <c r="C90" s="6"/>
      <c r="D90" s="6">
        <v>1000</v>
      </c>
      <c r="E90" s="6"/>
      <c r="F90" s="6"/>
      <c r="G90" s="6"/>
      <c r="H90" s="6"/>
      <c r="I90" s="6"/>
      <c r="J90" s="6"/>
      <c r="K90" s="6"/>
      <c r="L90" s="6"/>
      <c r="M90" s="5">
        <f t="shared" si="0"/>
        <v>1000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 t="s">
        <v>369</v>
      </c>
      <c r="C91" s="6"/>
      <c r="D91" s="6"/>
      <c r="E91" s="6"/>
      <c r="F91" s="6"/>
      <c r="G91" s="6"/>
      <c r="H91" s="6"/>
      <c r="I91" s="6"/>
      <c r="J91" s="6"/>
      <c r="K91" s="6">
        <v>5000</v>
      </c>
      <c r="L91" s="6"/>
      <c r="M91" s="5">
        <f t="shared" si="0"/>
        <v>5000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 t="s">
        <v>370</v>
      </c>
      <c r="C92" s="6"/>
      <c r="D92" s="6">
        <v>500</v>
      </c>
      <c r="E92" s="6"/>
      <c r="F92" s="6"/>
      <c r="G92" s="6"/>
      <c r="H92" s="6"/>
      <c r="I92" s="6"/>
      <c r="J92" s="6"/>
      <c r="K92" s="6"/>
      <c r="L92" s="6"/>
      <c r="M92" s="5">
        <f t="shared" si="0"/>
        <v>500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 t="s">
        <v>371</v>
      </c>
      <c r="C93" s="6"/>
      <c r="D93" s="6">
        <v>10000</v>
      </c>
      <c r="E93" s="6"/>
      <c r="F93" s="6"/>
      <c r="G93" s="6"/>
      <c r="H93" s="6"/>
      <c r="I93" s="6"/>
      <c r="J93" s="6"/>
      <c r="K93" s="6"/>
      <c r="L93" s="6"/>
      <c r="M93" s="5">
        <f t="shared" si="0"/>
        <v>10000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 t="s">
        <v>372</v>
      </c>
      <c r="C94" s="6"/>
      <c r="D94" s="6">
        <v>20000</v>
      </c>
      <c r="E94" s="6"/>
      <c r="F94" s="6"/>
      <c r="G94" s="6"/>
      <c r="H94" s="6"/>
      <c r="I94" s="6"/>
      <c r="J94" s="6"/>
      <c r="K94" s="6"/>
      <c r="L94" s="6"/>
      <c r="M94" s="5">
        <f t="shared" si="0"/>
        <v>20000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 t="s">
        <v>373</v>
      </c>
      <c r="C95" s="6"/>
      <c r="D95" s="6">
        <v>2000</v>
      </c>
      <c r="E95" s="6"/>
      <c r="F95" s="6"/>
      <c r="G95" s="6"/>
      <c r="H95" s="6"/>
      <c r="I95" s="6"/>
      <c r="J95" s="6"/>
      <c r="K95" s="6"/>
      <c r="L95" s="6"/>
      <c r="M95" s="5">
        <f t="shared" si="0"/>
        <v>2000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 t="s">
        <v>374</v>
      </c>
      <c r="C96" s="6">
        <v>1000</v>
      </c>
      <c r="D96" s="6">
        <v>1000</v>
      </c>
      <c r="E96" s="6"/>
      <c r="F96" s="6"/>
      <c r="G96" s="6"/>
      <c r="H96" s="6"/>
      <c r="I96" s="6"/>
      <c r="J96" s="6"/>
      <c r="K96" s="6"/>
      <c r="L96" s="6"/>
      <c r="M96" s="5">
        <f t="shared" si="0"/>
        <v>2000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 t="s">
        <v>375</v>
      </c>
      <c r="C97" s="6">
        <v>40000</v>
      </c>
      <c r="D97" s="6">
        <v>4000</v>
      </c>
      <c r="E97" s="6"/>
      <c r="F97" s="6"/>
      <c r="G97" s="6"/>
      <c r="H97" s="6"/>
      <c r="I97" s="6"/>
      <c r="J97" s="6"/>
      <c r="K97" s="6"/>
      <c r="L97" s="6"/>
      <c r="M97" s="5">
        <f t="shared" si="0"/>
        <v>44000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 t="s">
        <v>376</v>
      </c>
      <c r="C98" s="6">
        <v>5000</v>
      </c>
      <c r="D98" s="6">
        <v>5000</v>
      </c>
      <c r="E98" s="6"/>
      <c r="F98" s="6"/>
      <c r="G98" s="6"/>
      <c r="H98" s="6"/>
      <c r="I98" s="6"/>
      <c r="J98" s="6"/>
      <c r="K98" s="6"/>
      <c r="L98" s="6"/>
      <c r="M98" s="5">
        <f t="shared" si="0"/>
        <v>10000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 t="s">
        <v>377</v>
      </c>
      <c r="C99" s="6">
        <v>2700</v>
      </c>
      <c r="D99" s="6">
        <v>2300</v>
      </c>
      <c r="E99" s="6"/>
      <c r="F99" s="6"/>
      <c r="G99" s="6"/>
      <c r="H99" s="6"/>
      <c r="I99" s="6"/>
      <c r="J99" s="6"/>
      <c r="K99" s="6"/>
      <c r="L99" s="6"/>
      <c r="M99" s="5">
        <f t="shared" si="0"/>
        <v>5000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 t="s">
        <v>253</v>
      </c>
      <c r="C100" s="6"/>
      <c r="D100" s="6">
        <v>20000</v>
      </c>
      <c r="E100" s="6"/>
      <c r="F100" s="6"/>
      <c r="G100" s="6"/>
      <c r="H100" s="6"/>
      <c r="I100" s="6"/>
      <c r="J100" s="6"/>
      <c r="K100" s="6"/>
      <c r="L100" s="6"/>
      <c r="M100" s="5">
        <f t="shared" si="0"/>
        <v>20000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 t="s">
        <v>378</v>
      </c>
      <c r="C101" s="6">
        <v>8000</v>
      </c>
      <c r="D101" s="6">
        <v>2000</v>
      </c>
      <c r="E101" s="6"/>
      <c r="F101" s="6"/>
      <c r="G101" s="6"/>
      <c r="H101" s="6"/>
      <c r="I101" s="6"/>
      <c r="J101" s="6"/>
      <c r="K101" s="6"/>
      <c r="L101" s="6"/>
      <c r="M101" s="5">
        <f t="shared" si="0"/>
        <v>10000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 t="s">
        <v>262</v>
      </c>
      <c r="C102" s="6"/>
      <c r="D102" s="6">
        <v>1000</v>
      </c>
      <c r="E102" s="6"/>
      <c r="F102" s="6"/>
      <c r="G102" s="6"/>
      <c r="H102" s="6"/>
      <c r="I102" s="6"/>
      <c r="J102" s="6"/>
      <c r="K102" s="6"/>
      <c r="L102" s="6"/>
      <c r="M102" s="5">
        <f t="shared" si="0"/>
        <v>1000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 t="s">
        <v>259</v>
      </c>
      <c r="C103" s="6"/>
      <c r="D103" s="6">
        <v>1000</v>
      </c>
      <c r="E103" s="6"/>
      <c r="F103" s="6"/>
      <c r="G103" s="6"/>
      <c r="H103" s="6"/>
      <c r="I103" s="6"/>
      <c r="J103" s="6"/>
      <c r="K103" s="6"/>
      <c r="L103" s="6"/>
      <c r="M103" s="5">
        <f t="shared" si="0"/>
        <v>1000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 t="s">
        <v>379</v>
      </c>
      <c r="C104" s="6">
        <v>1000</v>
      </c>
      <c r="D104" s="6"/>
      <c r="E104" s="6"/>
      <c r="F104" s="6"/>
      <c r="G104" s="6"/>
      <c r="H104" s="6"/>
      <c r="I104" s="6"/>
      <c r="J104" s="6"/>
      <c r="K104" s="6"/>
      <c r="L104" s="6"/>
      <c r="M104" s="5">
        <f t="shared" si="0"/>
        <v>1000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 t="s">
        <v>380</v>
      </c>
      <c r="C105" s="6">
        <v>500</v>
      </c>
      <c r="D105" s="6">
        <v>500</v>
      </c>
      <c r="E105" s="6"/>
      <c r="F105" s="6"/>
      <c r="G105" s="6"/>
      <c r="H105" s="6"/>
      <c r="I105" s="6"/>
      <c r="J105" s="6"/>
      <c r="K105" s="6"/>
      <c r="L105" s="6"/>
      <c r="M105" s="5">
        <f t="shared" si="0"/>
        <v>1000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 t="s">
        <v>381</v>
      </c>
      <c r="C106" s="6"/>
      <c r="D106" s="6">
        <v>2000</v>
      </c>
      <c r="E106" s="6"/>
      <c r="F106" s="6"/>
      <c r="G106" s="6"/>
      <c r="H106" s="6"/>
      <c r="I106" s="6"/>
      <c r="J106" s="6"/>
      <c r="K106" s="6"/>
      <c r="L106" s="6"/>
      <c r="M106" s="5">
        <f t="shared" si="0"/>
        <v>2000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 t="s">
        <v>272</v>
      </c>
      <c r="C107" s="6">
        <v>19500</v>
      </c>
      <c r="D107" s="6">
        <v>19500</v>
      </c>
      <c r="E107" s="6"/>
      <c r="F107" s="6"/>
      <c r="G107" s="6"/>
      <c r="H107" s="6"/>
      <c r="I107" s="6"/>
      <c r="J107" s="6"/>
      <c r="K107" s="6"/>
      <c r="L107" s="6"/>
      <c r="M107" s="5">
        <f t="shared" si="0"/>
        <v>39000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 t="s">
        <v>382</v>
      </c>
      <c r="C108" s="6">
        <v>200</v>
      </c>
      <c r="D108" s="6"/>
      <c r="E108" s="6"/>
      <c r="F108" s="6"/>
      <c r="G108" s="6"/>
      <c r="H108" s="6"/>
      <c r="I108" s="6"/>
      <c r="J108" s="6"/>
      <c r="K108" s="6"/>
      <c r="L108" s="6"/>
      <c r="M108" s="5">
        <f t="shared" si="0"/>
        <v>200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 t="s">
        <v>383</v>
      </c>
      <c r="C109" s="6">
        <v>100</v>
      </c>
      <c r="D109" s="6">
        <v>900</v>
      </c>
      <c r="E109" s="6"/>
      <c r="F109" s="6"/>
      <c r="G109" s="6"/>
      <c r="H109" s="6"/>
      <c r="I109" s="6"/>
      <c r="J109" s="6"/>
      <c r="K109" s="6"/>
      <c r="L109" s="6"/>
      <c r="M109" s="5">
        <f t="shared" si="0"/>
        <v>1000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 t="s">
        <v>283</v>
      </c>
      <c r="C110" s="6"/>
      <c r="D110" s="6">
        <v>1000</v>
      </c>
      <c r="E110" s="6"/>
      <c r="F110" s="6"/>
      <c r="G110" s="6"/>
      <c r="H110" s="6"/>
      <c r="I110" s="6"/>
      <c r="J110" s="6"/>
      <c r="K110" s="6"/>
      <c r="L110" s="6"/>
      <c r="M110" s="5">
        <f t="shared" si="0"/>
        <v>1000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 t="s">
        <v>384</v>
      </c>
      <c r="C111" s="6"/>
      <c r="D111" s="6">
        <v>1000</v>
      </c>
      <c r="E111" s="6"/>
      <c r="F111" s="6"/>
      <c r="G111" s="6"/>
      <c r="H111" s="6"/>
      <c r="I111" s="6"/>
      <c r="J111" s="6"/>
      <c r="K111" s="6"/>
      <c r="L111" s="6"/>
      <c r="M111" s="5">
        <f t="shared" si="0"/>
        <v>1000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 t="s">
        <v>385</v>
      </c>
      <c r="C112" s="6"/>
      <c r="D112" s="6">
        <v>12000</v>
      </c>
      <c r="E112" s="6"/>
      <c r="F112" s="6"/>
      <c r="G112" s="6"/>
      <c r="H112" s="6"/>
      <c r="I112" s="6"/>
      <c r="J112" s="6"/>
      <c r="K112" s="6"/>
      <c r="L112" s="6"/>
      <c r="M112" s="5">
        <f t="shared" si="0"/>
        <v>12000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 t="s">
        <v>282</v>
      </c>
      <c r="C113" s="6"/>
      <c r="D113" s="6">
        <v>1000</v>
      </c>
      <c r="E113" s="6"/>
      <c r="F113" s="6"/>
      <c r="G113" s="6"/>
      <c r="H113" s="6"/>
      <c r="I113" s="6"/>
      <c r="J113" s="6"/>
      <c r="K113" s="6"/>
      <c r="L113" s="6"/>
      <c r="M113" s="5">
        <f t="shared" si="0"/>
        <v>1000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 t="s">
        <v>386</v>
      </c>
      <c r="C114" s="6"/>
      <c r="D114" s="6">
        <v>5000</v>
      </c>
      <c r="E114" s="6"/>
      <c r="F114" s="6"/>
      <c r="G114" s="6"/>
      <c r="H114" s="6"/>
      <c r="I114" s="6"/>
      <c r="J114" s="6"/>
      <c r="K114" s="6"/>
      <c r="L114" s="6"/>
      <c r="M114" s="5">
        <f t="shared" si="0"/>
        <v>5000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 t="s">
        <v>387</v>
      </c>
      <c r="C115" s="6">
        <v>5000</v>
      </c>
      <c r="D115" s="6">
        <v>5000</v>
      </c>
      <c r="E115" s="6"/>
      <c r="F115" s="6"/>
      <c r="G115" s="6"/>
      <c r="H115" s="6"/>
      <c r="I115" s="6"/>
      <c r="J115" s="6"/>
      <c r="K115" s="6"/>
      <c r="L115" s="6"/>
      <c r="M115" s="5">
        <f t="shared" si="0"/>
        <v>10000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 t="s">
        <v>388</v>
      </c>
      <c r="C116" s="6"/>
      <c r="D116" s="6">
        <v>2000</v>
      </c>
      <c r="E116" s="6"/>
      <c r="F116" s="6"/>
      <c r="G116" s="6"/>
      <c r="H116" s="6"/>
      <c r="I116" s="6"/>
      <c r="J116" s="6"/>
      <c r="K116" s="6"/>
      <c r="L116" s="6"/>
      <c r="M116" s="5">
        <f t="shared" si="0"/>
        <v>2000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 t="s">
        <v>389</v>
      </c>
      <c r="C117" s="6">
        <v>2000</v>
      </c>
      <c r="D117" s="6"/>
      <c r="E117" s="6"/>
      <c r="F117" s="6"/>
      <c r="G117" s="6"/>
      <c r="H117" s="6"/>
      <c r="I117" s="6"/>
      <c r="J117" s="6"/>
      <c r="K117" s="6"/>
      <c r="L117" s="6"/>
      <c r="M117" s="5">
        <f t="shared" si="0"/>
        <v>2000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 t="s">
        <v>390</v>
      </c>
      <c r="C118" s="6">
        <v>20000</v>
      </c>
      <c r="D118" s="6">
        <v>2000</v>
      </c>
      <c r="E118" s="6"/>
      <c r="F118" s="6"/>
      <c r="G118" s="6"/>
      <c r="H118" s="6"/>
      <c r="I118" s="6"/>
      <c r="J118" s="6"/>
      <c r="K118" s="6"/>
      <c r="L118" s="6"/>
      <c r="M118" s="5">
        <f t="shared" si="0"/>
        <v>22000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 t="s">
        <v>391</v>
      </c>
      <c r="C119" s="6">
        <v>5000</v>
      </c>
      <c r="D119" s="6"/>
      <c r="E119" s="6"/>
      <c r="F119" s="6"/>
      <c r="G119" s="6"/>
      <c r="H119" s="6"/>
      <c r="I119" s="6"/>
      <c r="J119" s="6"/>
      <c r="K119" s="6"/>
      <c r="L119" s="6"/>
      <c r="M119" s="5">
        <f t="shared" si="0"/>
        <v>5000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16"/>
      <c r="B120" s="16" t="s">
        <v>265</v>
      </c>
      <c r="C120" s="16">
        <v>4000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74">
        <f t="shared" si="0"/>
        <v>4000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6"/>
      <c r="B121" s="6" t="s">
        <v>392</v>
      </c>
      <c r="C121" s="6">
        <v>5000</v>
      </c>
      <c r="D121" s="6"/>
      <c r="E121" s="6"/>
      <c r="F121" s="6"/>
      <c r="G121" s="6"/>
      <c r="H121" s="6"/>
      <c r="I121" s="6"/>
      <c r="J121" s="6"/>
      <c r="K121" s="6"/>
      <c r="L121" s="6"/>
      <c r="M121" s="5">
        <f t="shared" si="0"/>
        <v>5000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 t="s">
        <v>393</v>
      </c>
      <c r="C122" s="6">
        <v>250</v>
      </c>
      <c r="D122" s="6">
        <v>250</v>
      </c>
      <c r="E122" s="6"/>
      <c r="F122" s="6"/>
      <c r="G122" s="6"/>
      <c r="H122" s="6"/>
      <c r="I122" s="6"/>
      <c r="J122" s="6"/>
      <c r="K122" s="6"/>
      <c r="L122" s="6"/>
      <c r="M122" s="5">
        <f t="shared" si="0"/>
        <v>500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 t="s">
        <v>394</v>
      </c>
      <c r="C123" s="6"/>
      <c r="D123" s="6">
        <v>1000</v>
      </c>
      <c r="E123" s="6"/>
      <c r="F123" s="6"/>
      <c r="G123" s="6"/>
      <c r="H123" s="6"/>
      <c r="I123" s="6"/>
      <c r="J123" s="6"/>
      <c r="K123" s="6"/>
      <c r="L123" s="6"/>
      <c r="M123" s="5">
        <f t="shared" si="0"/>
        <v>1000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 t="s">
        <v>395</v>
      </c>
      <c r="C124" s="6">
        <v>500</v>
      </c>
      <c r="D124" s="6">
        <v>500</v>
      </c>
      <c r="E124" s="6"/>
      <c r="F124" s="6"/>
      <c r="G124" s="6"/>
      <c r="H124" s="6"/>
      <c r="I124" s="6"/>
      <c r="J124" s="6"/>
      <c r="K124" s="6"/>
      <c r="L124" s="6"/>
      <c r="M124" s="5">
        <f t="shared" si="0"/>
        <v>1000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 t="s">
        <v>396</v>
      </c>
      <c r="C125" s="6">
        <v>2000</v>
      </c>
      <c r="D125" s="6"/>
      <c r="E125" s="6"/>
      <c r="F125" s="6"/>
      <c r="G125" s="6"/>
      <c r="H125" s="6"/>
      <c r="I125" s="6"/>
      <c r="J125" s="6"/>
      <c r="K125" s="6"/>
      <c r="L125" s="6"/>
      <c r="M125" s="5">
        <f t="shared" si="0"/>
        <v>2000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 t="s">
        <v>397</v>
      </c>
      <c r="C126" s="6">
        <v>250</v>
      </c>
      <c r="D126" s="6">
        <v>250</v>
      </c>
      <c r="E126" s="6"/>
      <c r="F126" s="6"/>
      <c r="G126" s="6"/>
      <c r="H126" s="6"/>
      <c r="I126" s="6"/>
      <c r="J126" s="6"/>
      <c r="K126" s="6"/>
      <c r="L126" s="6"/>
      <c r="M126" s="5">
        <f t="shared" si="0"/>
        <v>500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 t="s">
        <v>398</v>
      </c>
      <c r="C127" s="6">
        <v>100</v>
      </c>
      <c r="D127" s="6"/>
      <c r="E127" s="6"/>
      <c r="F127" s="6"/>
      <c r="G127" s="6"/>
      <c r="H127" s="6"/>
      <c r="I127" s="6"/>
      <c r="J127" s="6"/>
      <c r="K127" s="6"/>
      <c r="L127" s="6"/>
      <c r="M127" s="5">
        <f t="shared" si="0"/>
        <v>100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 t="s">
        <v>399</v>
      </c>
      <c r="C128" s="6"/>
      <c r="D128" s="6">
        <v>1000</v>
      </c>
      <c r="E128" s="6"/>
      <c r="F128" s="6"/>
      <c r="G128" s="6"/>
      <c r="H128" s="6"/>
      <c r="I128" s="6"/>
      <c r="J128" s="6"/>
      <c r="K128" s="6"/>
      <c r="L128" s="6"/>
      <c r="M128" s="5">
        <f t="shared" si="0"/>
        <v>1000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 t="s">
        <v>400</v>
      </c>
      <c r="C129" s="6"/>
      <c r="D129" s="6">
        <v>1000</v>
      </c>
      <c r="E129" s="6"/>
      <c r="F129" s="6"/>
      <c r="G129" s="6"/>
      <c r="H129" s="6"/>
      <c r="I129" s="6"/>
      <c r="J129" s="6"/>
      <c r="K129" s="6"/>
      <c r="L129" s="6"/>
      <c r="M129" s="5">
        <f t="shared" si="0"/>
        <v>1000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 t="s">
        <v>401</v>
      </c>
      <c r="C130" s="6"/>
      <c r="D130" s="6">
        <v>2000</v>
      </c>
      <c r="E130" s="6"/>
      <c r="F130" s="6"/>
      <c r="G130" s="6"/>
      <c r="H130" s="6"/>
      <c r="I130" s="6"/>
      <c r="J130" s="6"/>
      <c r="K130" s="6"/>
      <c r="L130" s="6"/>
      <c r="M130" s="5">
        <f t="shared" si="0"/>
        <v>2000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 t="s">
        <v>402</v>
      </c>
      <c r="C131" s="6">
        <v>500</v>
      </c>
      <c r="D131" s="6">
        <v>1000</v>
      </c>
      <c r="E131" s="6"/>
      <c r="F131" s="6"/>
      <c r="G131" s="6">
        <v>500</v>
      </c>
      <c r="H131" s="6"/>
      <c r="I131" s="6"/>
      <c r="J131" s="6"/>
      <c r="K131" s="6"/>
      <c r="L131" s="6"/>
      <c r="M131" s="5">
        <f t="shared" si="0"/>
        <v>2000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 t="s">
        <v>403</v>
      </c>
      <c r="C132" s="6"/>
      <c r="D132" s="6">
        <v>1000</v>
      </c>
      <c r="E132" s="6"/>
      <c r="F132" s="6"/>
      <c r="G132" s="6"/>
      <c r="H132" s="6"/>
      <c r="I132" s="6"/>
      <c r="J132" s="6"/>
      <c r="K132" s="6"/>
      <c r="L132" s="6"/>
      <c r="M132" s="5">
        <f t="shared" si="0"/>
        <v>1000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 t="s">
        <v>404</v>
      </c>
      <c r="C133" s="6"/>
      <c r="D133" s="6">
        <v>1000</v>
      </c>
      <c r="E133" s="6"/>
      <c r="F133" s="6"/>
      <c r="G133" s="6"/>
      <c r="H133" s="6"/>
      <c r="I133" s="6"/>
      <c r="J133" s="6"/>
      <c r="K133" s="6"/>
      <c r="L133" s="6"/>
      <c r="M133" s="5">
        <f t="shared" si="0"/>
        <v>1000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 t="s">
        <v>405</v>
      </c>
      <c r="C134" s="6">
        <v>15000</v>
      </c>
      <c r="D134" s="6">
        <v>15000</v>
      </c>
      <c r="E134" s="6"/>
      <c r="F134" s="6"/>
      <c r="G134" s="6"/>
      <c r="H134" s="6"/>
      <c r="I134" s="6"/>
      <c r="J134" s="6"/>
      <c r="K134" s="6"/>
      <c r="L134" s="6"/>
      <c r="M134" s="5">
        <f t="shared" si="0"/>
        <v>30000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 t="s">
        <v>406</v>
      </c>
      <c r="C135" s="6"/>
      <c r="D135" s="6">
        <v>20000</v>
      </c>
      <c r="E135" s="6"/>
      <c r="F135" s="6"/>
      <c r="G135" s="6"/>
      <c r="H135" s="6"/>
      <c r="I135" s="6"/>
      <c r="J135" s="6"/>
      <c r="K135" s="6"/>
      <c r="L135" s="6"/>
      <c r="M135" s="5">
        <f t="shared" si="0"/>
        <v>20000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 t="s">
        <v>252</v>
      </c>
      <c r="C136" s="6">
        <v>1500</v>
      </c>
      <c r="D136" s="6">
        <v>1500</v>
      </c>
      <c r="E136" s="6"/>
      <c r="F136" s="6"/>
      <c r="G136" s="6"/>
      <c r="H136" s="6"/>
      <c r="I136" s="6"/>
      <c r="J136" s="6"/>
      <c r="K136" s="6"/>
      <c r="L136" s="6"/>
      <c r="M136" s="5">
        <f t="shared" si="0"/>
        <v>3000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 t="s">
        <v>407</v>
      </c>
      <c r="C137" s="6"/>
      <c r="D137" s="6">
        <v>1000</v>
      </c>
      <c r="E137" s="6"/>
      <c r="F137" s="6"/>
      <c r="G137" s="6"/>
      <c r="H137" s="6"/>
      <c r="I137" s="6"/>
      <c r="J137" s="6"/>
      <c r="K137" s="6"/>
      <c r="L137" s="6"/>
      <c r="M137" s="5">
        <f t="shared" si="0"/>
        <v>1000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 t="s">
        <v>408</v>
      </c>
      <c r="C138" s="6"/>
      <c r="D138" s="6">
        <v>1000</v>
      </c>
      <c r="E138" s="6"/>
      <c r="F138" s="6"/>
      <c r="G138" s="6"/>
      <c r="H138" s="6"/>
      <c r="I138" s="6"/>
      <c r="J138" s="6"/>
      <c r="K138" s="6"/>
      <c r="L138" s="6"/>
      <c r="M138" s="5">
        <f t="shared" si="0"/>
        <v>1000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 t="s">
        <v>409</v>
      </c>
      <c r="C139" s="6">
        <v>24100</v>
      </c>
      <c r="D139" s="6">
        <v>24100</v>
      </c>
      <c r="E139" s="6"/>
      <c r="F139" s="6"/>
      <c r="G139" s="6"/>
      <c r="H139" s="6"/>
      <c r="I139" s="6"/>
      <c r="J139" s="6"/>
      <c r="K139" s="6"/>
      <c r="L139" s="6"/>
      <c r="M139" s="5">
        <f t="shared" si="0"/>
        <v>48200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 t="s">
        <v>269</v>
      </c>
      <c r="C140" s="6">
        <v>15000</v>
      </c>
      <c r="D140" s="6"/>
      <c r="E140" s="6"/>
      <c r="F140" s="6"/>
      <c r="G140" s="6"/>
      <c r="H140" s="6"/>
      <c r="I140" s="6"/>
      <c r="J140" s="6"/>
      <c r="K140" s="6"/>
      <c r="L140" s="6"/>
      <c r="M140" s="75">
        <f t="shared" si="0"/>
        <v>15000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 t="s">
        <v>410</v>
      </c>
      <c r="C141" s="6"/>
      <c r="D141" s="6">
        <v>1000</v>
      </c>
      <c r="E141" s="6"/>
      <c r="F141" s="6"/>
      <c r="G141" s="6"/>
      <c r="H141" s="6"/>
      <c r="I141" s="6"/>
      <c r="J141" s="6"/>
      <c r="K141" s="6"/>
      <c r="L141" s="6"/>
      <c r="M141" s="5">
        <f t="shared" si="0"/>
        <v>1000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 t="s">
        <v>275</v>
      </c>
      <c r="C142" s="6"/>
      <c r="D142" s="6">
        <v>5000</v>
      </c>
      <c r="E142" s="6"/>
      <c r="F142" s="6"/>
      <c r="G142" s="6"/>
      <c r="H142" s="6"/>
      <c r="I142" s="6"/>
      <c r="J142" s="6"/>
      <c r="K142" s="6"/>
      <c r="L142" s="6"/>
      <c r="M142" s="5">
        <f t="shared" si="0"/>
        <v>5000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 t="s">
        <v>411</v>
      </c>
      <c r="C143" s="6"/>
      <c r="D143" s="6">
        <v>2000</v>
      </c>
      <c r="E143" s="6"/>
      <c r="F143" s="6"/>
      <c r="G143" s="6"/>
      <c r="H143" s="6"/>
      <c r="I143" s="6"/>
      <c r="J143" s="6"/>
      <c r="K143" s="6"/>
      <c r="L143" s="6"/>
      <c r="M143" s="5">
        <f t="shared" si="0"/>
        <v>2000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 t="s">
        <v>412</v>
      </c>
      <c r="C144" s="6">
        <v>10000</v>
      </c>
      <c r="D144" s="6">
        <v>10000</v>
      </c>
      <c r="E144" s="6"/>
      <c r="F144" s="6"/>
      <c r="G144" s="6"/>
      <c r="H144" s="6"/>
      <c r="I144" s="6"/>
      <c r="J144" s="6"/>
      <c r="K144" s="6"/>
      <c r="L144" s="6"/>
      <c r="M144" s="5">
        <f t="shared" si="0"/>
        <v>20000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 t="s">
        <v>413</v>
      </c>
      <c r="C145" s="6"/>
      <c r="D145" s="6">
        <v>5000</v>
      </c>
      <c r="E145" s="6"/>
      <c r="F145" s="6"/>
      <c r="G145" s="6"/>
      <c r="H145" s="6"/>
      <c r="I145" s="6"/>
      <c r="J145" s="6"/>
      <c r="K145" s="6"/>
      <c r="L145" s="6"/>
      <c r="M145" s="5">
        <f t="shared" si="0"/>
        <v>5000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 t="s">
        <v>414</v>
      </c>
      <c r="C146" s="6"/>
      <c r="D146" s="6"/>
      <c r="E146" s="6"/>
      <c r="F146" s="6"/>
      <c r="G146" s="6"/>
      <c r="H146" s="6"/>
      <c r="I146" s="6"/>
      <c r="J146" s="6"/>
      <c r="K146" s="6">
        <v>100000</v>
      </c>
      <c r="L146" s="6"/>
      <c r="M146" s="5">
        <f t="shared" si="0"/>
        <v>100000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 t="s">
        <v>415</v>
      </c>
      <c r="C147" s="6"/>
      <c r="D147" s="6">
        <v>5000</v>
      </c>
      <c r="E147" s="6"/>
      <c r="F147" s="6"/>
      <c r="G147" s="6"/>
      <c r="H147" s="6"/>
      <c r="I147" s="6"/>
      <c r="J147" s="6"/>
      <c r="K147" s="6"/>
      <c r="L147" s="6"/>
      <c r="M147" s="5">
        <f t="shared" si="0"/>
        <v>5000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 t="s">
        <v>416</v>
      </c>
      <c r="C148" s="6">
        <v>20000</v>
      </c>
      <c r="D148" s="6"/>
      <c r="E148" s="6"/>
      <c r="F148" s="6"/>
      <c r="G148" s="6"/>
      <c r="H148" s="6"/>
      <c r="I148" s="6"/>
      <c r="J148" s="6"/>
      <c r="K148" s="6"/>
      <c r="L148" s="6"/>
      <c r="M148" s="5">
        <f t="shared" si="0"/>
        <v>20000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 t="s">
        <v>287</v>
      </c>
      <c r="C149" s="6">
        <v>6000</v>
      </c>
      <c r="D149" s="6">
        <v>6000</v>
      </c>
      <c r="E149" s="6"/>
      <c r="F149" s="6"/>
      <c r="G149" s="6"/>
      <c r="H149" s="6"/>
      <c r="I149" s="6"/>
      <c r="J149" s="6"/>
      <c r="K149" s="6"/>
      <c r="L149" s="6"/>
      <c r="M149" s="5">
        <f t="shared" si="0"/>
        <v>12000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 t="s">
        <v>278</v>
      </c>
      <c r="C150" s="6"/>
      <c r="D150" s="6">
        <v>10000</v>
      </c>
      <c r="E150" s="6"/>
      <c r="F150" s="6"/>
      <c r="G150" s="6"/>
      <c r="H150" s="6"/>
      <c r="I150" s="6"/>
      <c r="J150" s="6"/>
      <c r="K150" s="6"/>
      <c r="L150" s="6"/>
      <c r="M150" s="5">
        <f t="shared" si="0"/>
        <v>10000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 t="s">
        <v>417</v>
      </c>
      <c r="C151" s="6"/>
      <c r="D151" s="6">
        <v>2000</v>
      </c>
      <c r="E151" s="6"/>
      <c r="F151" s="6"/>
      <c r="G151" s="6"/>
      <c r="H151" s="6"/>
      <c r="I151" s="6"/>
      <c r="J151" s="6"/>
      <c r="K151" s="6"/>
      <c r="L151" s="6"/>
      <c r="M151" s="5">
        <f t="shared" si="0"/>
        <v>2000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 t="s">
        <v>418</v>
      </c>
      <c r="C152" s="6">
        <v>315651.8</v>
      </c>
      <c r="D152" s="6">
        <v>34348.199999999997</v>
      </c>
      <c r="E152" s="6"/>
      <c r="F152" s="6"/>
      <c r="G152" s="6"/>
      <c r="H152" s="6"/>
      <c r="I152" s="6"/>
      <c r="J152" s="6"/>
      <c r="K152" s="6"/>
      <c r="L152" s="6"/>
      <c r="M152" s="5">
        <f t="shared" si="0"/>
        <v>350000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 t="s">
        <v>419</v>
      </c>
      <c r="C153" s="6"/>
      <c r="D153" s="6">
        <v>1000</v>
      </c>
      <c r="E153" s="6"/>
      <c r="F153" s="6"/>
      <c r="G153" s="6"/>
      <c r="H153" s="6"/>
      <c r="I153" s="6"/>
      <c r="J153" s="6"/>
      <c r="K153" s="6"/>
      <c r="L153" s="6"/>
      <c r="M153" s="5">
        <f t="shared" si="0"/>
        <v>1000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 t="s">
        <v>257</v>
      </c>
      <c r="C154" s="6"/>
      <c r="D154" s="6">
        <v>2000</v>
      </c>
      <c r="E154" s="6"/>
      <c r="F154" s="6"/>
      <c r="G154" s="6"/>
      <c r="H154" s="6"/>
      <c r="I154" s="6"/>
      <c r="J154" s="6"/>
      <c r="K154" s="6"/>
      <c r="L154" s="6"/>
      <c r="M154" s="5">
        <f t="shared" si="0"/>
        <v>2000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 t="s">
        <v>420</v>
      </c>
      <c r="C155" s="6"/>
      <c r="D155" s="6">
        <v>1000</v>
      </c>
      <c r="E155" s="6"/>
      <c r="F155" s="6"/>
      <c r="G155" s="6"/>
      <c r="H155" s="6"/>
      <c r="I155" s="6"/>
      <c r="J155" s="6"/>
      <c r="K155" s="6"/>
      <c r="L155" s="6"/>
      <c r="M155" s="5">
        <f t="shared" si="0"/>
        <v>1000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 t="s">
        <v>421</v>
      </c>
      <c r="C156" s="6">
        <v>10000</v>
      </c>
      <c r="D156" s="6"/>
      <c r="E156" s="6"/>
      <c r="F156" s="6"/>
      <c r="G156" s="6"/>
      <c r="H156" s="6"/>
      <c r="I156" s="6"/>
      <c r="J156" s="6"/>
      <c r="K156" s="6"/>
      <c r="L156" s="6"/>
      <c r="M156" s="5">
        <f t="shared" si="0"/>
        <v>10000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 t="s">
        <v>422</v>
      </c>
      <c r="C157" s="6"/>
      <c r="D157" s="6">
        <v>1000</v>
      </c>
      <c r="E157" s="6"/>
      <c r="F157" s="6"/>
      <c r="G157" s="6"/>
      <c r="H157" s="6"/>
      <c r="I157" s="6"/>
      <c r="J157" s="6"/>
      <c r="K157" s="6"/>
      <c r="L157" s="6"/>
      <c r="M157" s="5">
        <f t="shared" si="0"/>
        <v>1000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 t="s">
        <v>423</v>
      </c>
      <c r="C158" s="6">
        <v>2000</v>
      </c>
      <c r="D158" s="6"/>
      <c r="E158" s="6"/>
      <c r="F158" s="6"/>
      <c r="G158" s="6"/>
      <c r="H158" s="6"/>
      <c r="I158" s="6"/>
      <c r="J158" s="6"/>
      <c r="K158" s="6"/>
      <c r="L158" s="6"/>
      <c r="M158" s="5">
        <f t="shared" si="0"/>
        <v>2000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 t="s">
        <v>424</v>
      </c>
      <c r="C159" s="6"/>
      <c r="D159" s="6"/>
      <c r="E159" s="6"/>
      <c r="F159" s="6">
        <v>5000</v>
      </c>
      <c r="G159" s="6"/>
      <c r="H159" s="6"/>
      <c r="I159" s="6"/>
      <c r="J159" s="6"/>
      <c r="K159" s="6"/>
      <c r="L159" s="6"/>
      <c r="M159" s="5">
        <f t="shared" si="0"/>
        <v>5000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 t="s">
        <v>425</v>
      </c>
      <c r="C160" s="6">
        <v>2500</v>
      </c>
      <c r="D160" s="6">
        <v>2500</v>
      </c>
      <c r="E160" s="6"/>
      <c r="F160" s="6"/>
      <c r="G160" s="6"/>
      <c r="H160" s="6"/>
      <c r="I160" s="6"/>
      <c r="J160" s="6"/>
      <c r="K160" s="6"/>
      <c r="L160" s="6"/>
      <c r="M160" s="5">
        <f t="shared" si="0"/>
        <v>5000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 t="s">
        <v>426</v>
      </c>
      <c r="C161" s="6"/>
      <c r="D161" s="6">
        <v>50000</v>
      </c>
      <c r="E161" s="6"/>
      <c r="F161" s="6"/>
      <c r="G161" s="6"/>
      <c r="H161" s="6"/>
      <c r="I161" s="6"/>
      <c r="J161" s="6"/>
      <c r="K161" s="6"/>
      <c r="L161" s="6"/>
      <c r="M161" s="5">
        <f t="shared" si="0"/>
        <v>50000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 t="s">
        <v>427</v>
      </c>
      <c r="C162" s="6"/>
      <c r="D162" s="6">
        <v>500</v>
      </c>
      <c r="E162" s="6"/>
      <c r="F162" s="6"/>
      <c r="G162" s="6"/>
      <c r="H162" s="6"/>
      <c r="I162" s="6"/>
      <c r="J162" s="6"/>
      <c r="K162" s="6"/>
      <c r="L162" s="6"/>
      <c r="M162" s="5">
        <f t="shared" si="0"/>
        <v>500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 t="s">
        <v>428</v>
      </c>
      <c r="C163" s="6">
        <v>90000</v>
      </c>
      <c r="D163" s="6"/>
      <c r="E163" s="6"/>
      <c r="F163" s="6"/>
      <c r="G163" s="6"/>
      <c r="H163" s="6"/>
      <c r="I163" s="6"/>
      <c r="J163" s="6"/>
      <c r="K163" s="6"/>
      <c r="L163" s="6"/>
      <c r="M163" s="5">
        <f t="shared" si="0"/>
        <v>90000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 t="s">
        <v>429</v>
      </c>
      <c r="C164" s="6"/>
      <c r="D164" s="6">
        <v>5000</v>
      </c>
      <c r="E164" s="6"/>
      <c r="F164" s="6"/>
      <c r="G164" s="6"/>
      <c r="H164" s="6"/>
      <c r="I164" s="6"/>
      <c r="J164" s="6"/>
      <c r="K164" s="6"/>
      <c r="L164" s="6"/>
      <c r="M164" s="5">
        <f t="shared" si="0"/>
        <v>5000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 t="s">
        <v>430</v>
      </c>
      <c r="C165" s="6"/>
      <c r="D165" s="6">
        <v>1000</v>
      </c>
      <c r="E165" s="6"/>
      <c r="F165" s="6"/>
      <c r="G165" s="6"/>
      <c r="H165" s="6"/>
      <c r="I165" s="6"/>
      <c r="J165" s="6"/>
      <c r="K165" s="6"/>
      <c r="L165" s="6"/>
      <c r="M165" s="5">
        <f t="shared" si="0"/>
        <v>1000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 t="s">
        <v>280</v>
      </c>
      <c r="C166" s="6">
        <v>2000</v>
      </c>
      <c r="D166" s="6"/>
      <c r="E166" s="6"/>
      <c r="F166" s="6"/>
      <c r="G166" s="6"/>
      <c r="H166" s="6"/>
      <c r="I166" s="6"/>
      <c r="J166" s="6"/>
      <c r="K166" s="6"/>
      <c r="L166" s="6"/>
      <c r="M166" s="5">
        <f t="shared" si="0"/>
        <v>2000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 t="s">
        <v>431</v>
      </c>
      <c r="C167" s="6"/>
      <c r="D167" s="6">
        <v>2000</v>
      </c>
      <c r="E167" s="6"/>
      <c r="F167" s="6"/>
      <c r="G167" s="6"/>
      <c r="H167" s="6"/>
      <c r="I167" s="6"/>
      <c r="J167" s="6"/>
      <c r="K167" s="6"/>
      <c r="L167" s="6"/>
      <c r="M167" s="5">
        <f t="shared" si="0"/>
        <v>2000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 t="s">
        <v>279</v>
      </c>
      <c r="C168" s="6">
        <v>1000</v>
      </c>
      <c r="D168" s="6">
        <v>1000</v>
      </c>
      <c r="E168" s="6"/>
      <c r="F168" s="6"/>
      <c r="G168" s="6"/>
      <c r="H168" s="6"/>
      <c r="I168" s="6"/>
      <c r="J168" s="6"/>
      <c r="K168" s="6"/>
      <c r="L168" s="6"/>
      <c r="M168" s="5">
        <f t="shared" si="0"/>
        <v>2000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 t="s">
        <v>432</v>
      </c>
      <c r="C169" s="6">
        <v>20000</v>
      </c>
      <c r="D169" s="6"/>
      <c r="E169" s="6"/>
      <c r="F169" s="6"/>
      <c r="G169" s="6"/>
      <c r="H169" s="6"/>
      <c r="I169" s="6"/>
      <c r="J169" s="6"/>
      <c r="K169" s="6"/>
      <c r="L169" s="6"/>
      <c r="M169" s="5">
        <f t="shared" si="0"/>
        <v>20000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 t="s">
        <v>433</v>
      </c>
      <c r="C170" s="6"/>
      <c r="D170" s="6">
        <v>2000</v>
      </c>
      <c r="E170" s="6"/>
      <c r="F170" s="6"/>
      <c r="G170" s="6"/>
      <c r="H170" s="6"/>
      <c r="I170" s="6"/>
      <c r="J170" s="6"/>
      <c r="K170" s="6"/>
      <c r="L170" s="6"/>
      <c r="M170" s="5">
        <f t="shared" si="0"/>
        <v>2000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 t="s">
        <v>434</v>
      </c>
      <c r="C171" s="6">
        <v>100</v>
      </c>
      <c r="D171" s="6">
        <v>100</v>
      </c>
      <c r="E171" s="6"/>
      <c r="F171" s="6"/>
      <c r="G171" s="6"/>
      <c r="H171" s="6"/>
      <c r="I171" s="6"/>
      <c r="J171" s="6"/>
      <c r="K171" s="6"/>
      <c r="L171" s="6"/>
      <c r="M171" s="5">
        <f t="shared" si="0"/>
        <v>200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34"/>
      <c r="B172" s="34" t="s">
        <v>435</v>
      </c>
      <c r="C172" s="34">
        <v>1000</v>
      </c>
      <c r="D172" s="34"/>
      <c r="E172" s="34"/>
      <c r="F172" s="34"/>
      <c r="G172" s="34"/>
      <c r="H172" s="34"/>
      <c r="I172" s="34"/>
      <c r="J172" s="34"/>
      <c r="K172" s="34"/>
      <c r="L172" s="34"/>
      <c r="M172" s="75">
        <f t="shared" si="0"/>
        <v>1000</v>
      </c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>
      <c r="A173" s="6"/>
      <c r="B173" s="6" t="s">
        <v>436</v>
      </c>
      <c r="C173" s="6">
        <v>1000</v>
      </c>
      <c r="D173" s="6">
        <v>1000</v>
      </c>
      <c r="E173" s="6"/>
      <c r="F173" s="6"/>
      <c r="G173" s="6"/>
      <c r="H173" s="6"/>
      <c r="I173" s="6"/>
      <c r="J173" s="6"/>
      <c r="K173" s="6"/>
      <c r="L173" s="6"/>
      <c r="M173" s="5">
        <f t="shared" si="0"/>
        <v>2000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 t="s">
        <v>281</v>
      </c>
      <c r="C174" s="6"/>
      <c r="D174" s="6">
        <v>2000</v>
      </c>
      <c r="E174" s="6"/>
      <c r="F174" s="6"/>
      <c r="G174" s="6"/>
      <c r="H174" s="6"/>
      <c r="I174" s="6"/>
      <c r="J174" s="6"/>
      <c r="K174" s="6"/>
      <c r="L174" s="6"/>
      <c r="M174" s="5">
        <f t="shared" si="0"/>
        <v>2000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 t="s">
        <v>437</v>
      </c>
      <c r="C175" s="6"/>
      <c r="D175" s="6">
        <v>1000</v>
      </c>
      <c r="E175" s="6"/>
      <c r="F175" s="6"/>
      <c r="G175" s="6"/>
      <c r="H175" s="6"/>
      <c r="I175" s="6"/>
      <c r="J175" s="6"/>
      <c r="K175" s="6"/>
      <c r="L175" s="6"/>
      <c r="M175" s="5">
        <f t="shared" si="0"/>
        <v>1000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 t="s">
        <v>438</v>
      </c>
      <c r="C176" s="6"/>
      <c r="D176" s="6">
        <v>40000</v>
      </c>
      <c r="E176" s="6"/>
      <c r="F176" s="6"/>
      <c r="G176" s="6"/>
      <c r="H176" s="6"/>
      <c r="I176" s="6"/>
      <c r="J176" s="6"/>
      <c r="K176" s="6"/>
      <c r="L176" s="6"/>
      <c r="M176" s="5">
        <f t="shared" si="0"/>
        <v>40000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 t="s">
        <v>260</v>
      </c>
      <c r="C177" s="6"/>
      <c r="D177" s="6">
        <v>1000</v>
      </c>
      <c r="E177" s="6"/>
      <c r="F177" s="6"/>
      <c r="G177" s="6"/>
      <c r="H177" s="6"/>
      <c r="I177" s="6"/>
      <c r="J177" s="6"/>
      <c r="K177" s="6"/>
      <c r="L177" s="6"/>
      <c r="M177" s="5">
        <f t="shared" si="0"/>
        <v>1000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 t="s">
        <v>439</v>
      </c>
      <c r="C178" s="6">
        <v>3000</v>
      </c>
      <c r="D178" s="6"/>
      <c r="E178" s="6"/>
      <c r="F178" s="6"/>
      <c r="G178" s="6"/>
      <c r="H178" s="6"/>
      <c r="I178" s="6"/>
      <c r="J178" s="6"/>
      <c r="K178" s="6"/>
      <c r="L178" s="6"/>
      <c r="M178" s="5">
        <f t="shared" si="0"/>
        <v>3000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 t="s">
        <v>440</v>
      </c>
      <c r="C179" s="6"/>
      <c r="D179" s="6">
        <v>2000</v>
      </c>
      <c r="E179" s="6"/>
      <c r="F179" s="6"/>
      <c r="G179" s="6"/>
      <c r="H179" s="6"/>
      <c r="I179" s="6"/>
      <c r="J179" s="6"/>
      <c r="K179" s="6"/>
      <c r="L179" s="6"/>
      <c r="M179" s="5">
        <f t="shared" si="0"/>
        <v>2000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 t="s">
        <v>441</v>
      </c>
      <c r="C180" s="6">
        <v>11000</v>
      </c>
      <c r="D180" s="6"/>
      <c r="E180" s="6"/>
      <c r="F180" s="6"/>
      <c r="G180" s="6"/>
      <c r="H180" s="6"/>
      <c r="I180" s="6"/>
      <c r="J180" s="6"/>
      <c r="K180" s="6"/>
      <c r="L180" s="6"/>
      <c r="M180" s="5">
        <f t="shared" si="0"/>
        <v>11000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 t="s">
        <v>442</v>
      </c>
      <c r="C181" s="6">
        <v>7000</v>
      </c>
      <c r="D181" s="6">
        <v>5000</v>
      </c>
      <c r="E181" s="6"/>
      <c r="F181" s="6"/>
      <c r="G181" s="6"/>
      <c r="H181" s="6"/>
      <c r="I181" s="6"/>
      <c r="J181" s="6"/>
      <c r="K181" s="6"/>
      <c r="L181" s="6"/>
      <c r="M181" s="5">
        <f t="shared" si="0"/>
        <v>12000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 t="s">
        <v>443</v>
      </c>
      <c r="C182" s="6"/>
      <c r="D182" s="6">
        <v>5000</v>
      </c>
      <c r="E182" s="6"/>
      <c r="F182" s="6"/>
      <c r="G182" s="6"/>
      <c r="H182" s="6"/>
      <c r="I182" s="6"/>
      <c r="J182" s="6"/>
      <c r="K182" s="6"/>
      <c r="L182" s="6"/>
      <c r="M182" s="5">
        <f t="shared" si="0"/>
        <v>5000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 t="s">
        <v>444</v>
      </c>
      <c r="C183" s="6"/>
      <c r="D183" s="6">
        <v>5000</v>
      </c>
      <c r="E183" s="6"/>
      <c r="F183" s="6"/>
      <c r="G183" s="6"/>
      <c r="H183" s="6"/>
      <c r="I183" s="6"/>
      <c r="J183" s="6"/>
      <c r="K183" s="6"/>
      <c r="L183" s="6"/>
      <c r="M183" s="5">
        <f t="shared" si="0"/>
        <v>5000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 t="s">
        <v>445</v>
      </c>
      <c r="C184" s="6">
        <v>1000</v>
      </c>
      <c r="D184" s="6"/>
      <c r="E184" s="6"/>
      <c r="F184" s="6"/>
      <c r="G184" s="6"/>
      <c r="H184" s="6"/>
      <c r="I184" s="6"/>
      <c r="J184" s="6"/>
      <c r="K184" s="6"/>
      <c r="L184" s="6"/>
      <c r="M184" s="5">
        <f t="shared" si="0"/>
        <v>1000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 t="s">
        <v>285</v>
      </c>
      <c r="C185" s="6"/>
      <c r="D185" s="6">
        <v>2000</v>
      </c>
      <c r="E185" s="6"/>
      <c r="F185" s="6"/>
      <c r="G185" s="6"/>
      <c r="H185" s="6"/>
      <c r="I185" s="6"/>
      <c r="J185" s="6"/>
      <c r="K185" s="6"/>
      <c r="L185" s="6"/>
      <c r="M185" s="5">
        <f t="shared" si="0"/>
        <v>2000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 t="s">
        <v>446</v>
      </c>
      <c r="C186" s="6"/>
      <c r="D186" s="6">
        <v>10000</v>
      </c>
      <c r="E186" s="6"/>
      <c r="F186" s="6"/>
      <c r="G186" s="6"/>
      <c r="H186" s="6"/>
      <c r="I186" s="6"/>
      <c r="J186" s="6"/>
      <c r="K186" s="6"/>
      <c r="L186" s="6"/>
      <c r="M186" s="5">
        <f t="shared" si="0"/>
        <v>10000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 t="s">
        <v>277</v>
      </c>
      <c r="C187" s="6">
        <v>25400</v>
      </c>
      <c r="D187" s="6">
        <v>25400</v>
      </c>
      <c r="E187" s="6"/>
      <c r="F187" s="6"/>
      <c r="G187" s="6"/>
      <c r="H187" s="6"/>
      <c r="I187" s="6"/>
      <c r="J187" s="6"/>
      <c r="K187" s="6"/>
      <c r="L187" s="6"/>
      <c r="M187" s="5">
        <f t="shared" si="0"/>
        <v>50800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 t="s">
        <v>447</v>
      </c>
      <c r="C188" s="6"/>
      <c r="D188" s="6">
        <v>1000</v>
      </c>
      <c r="E188" s="6"/>
      <c r="F188" s="6"/>
      <c r="G188" s="6"/>
      <c r="H188" s="6"/>
      <c r="I188" s="6"/>
      <c r="J188" s="6"/>
      <c r="K188" s="6"/>
      <c r="L188" s="6"/>
      <c r="M188" s="5">
        <f t="shared" si="0"/>
        <v>1000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 t="s">
        <v>448</v>
      </c>
      <c r="C189" s="6"/>
      <c r="D189" s="6">
        <v>1000</v>
      </c>
      <c r="E189" s="6"/>
      <c r="F189" s="6"/>
      <c r="G189" s="6"/>
      <c r="H189" s="6"/>
      <c r="I189" s="6"/>
      <c r="J189" s="6"/>
      <c r="K189" s="6"/>
      <c r="L189" s="6"/>
      <c r="M189" s="5">
        <f t="shared" si="0"/>
        <v>1000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 t="s">
        <v>449</v>
      </c>
      <c r="C190" s="6">
        <v>6000</v>
      </c>
      <c r="D190" s="6"/>
      <c r="E190" s="6"/>
      <c r="F190" s="6"/>
      <c r="G190" s="6"/>
      <c r="H190" s="6"/>
      <c r="I190" s="6"/>
      <c r="J190" s="6"/>
      <c r="K190" s="6"/>
      <c r="L190" s="6"/>
      <c r="M190" s="5">
        <f t="shared" si="0"/>
        <v>6000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 t="s">
        <v>450</v>
      </c>
      <c r="C191" s="6">
        <v>10000</v>
      </c>
      <c r="D191" s="6">
        <v>5000</v>
      </c>
      <c r="E191" s="6"/>
      <c r="F191" s="6"/>
      <c r="G191" s="6"/>
      <c r="H191" s="6"/>
      <c r="I191" s="6"/>
      <c r="J191" s="6"/>
      <c r="K191" s="6"/>
      <c r="L191" s="6"/>
      <c r="M191" s="5">
        <f t="shared" si="0"/>
        <v>15000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 t="s">
        <v>451</v>
      </c>
      <c r="C192" s="6">
        <v>20000</v>
      </c>
      <c r="D192" s="6"/>
      <c r="E192" s="6"/>
      <c r="F192" s="6"/>
      <c r="G192" s="6"/>
      <c r="H192" s="6"/>
      <c r="I192" s="6"/>
      <c r="J192" s="6"/>
      <c r="K192" s="6"/>
      <c r="L192" s="6"/>
      <c r="M192" s="5">
        <f t="shared" si="0"/>
        <v>20000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 t="s">
        <v>452</v>
      </c>
      <c r="C193" s="6"/>
      <c r="D193" s="6"/>
      <c r="E193" s="6"/>
      <c r="F193" s="6">
        <v>20000</v>
      </c>
      <c r="G193" s="6"/>
      <c r="H193" s="6"/>
      <c r="I193" s="6"/>
      <c r="J193" s="6"/>
      <c r="K193" s="6"/>
      <c r="L193" s="6"/>
      <c r="M193" s="5">
        <f t="shared" si="0"/>
        <v>20000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 t="s">
        <v>453</v>
      </c>
      <c r="C194" s="6"/>
      <c r="D194" s="6">
        <v>5000</v>
      </c>
      <c r="E194" s="6"/>
      <c r="F194" s="6"/>
      <c r="G194" s="6"/>
      <c r="H194" s="6"/>
      <c r="I194" s="6"/>
      <c r="J194" s="6"/>
      <c r="K194" s="6"/>
      <c r="L194" s="6"/>
      <c r="M194" s="5">
        <f t="shared" si="0"/>
        <v>5000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 t="s">
        <v>454</v>
      </c>
      <c r="C195" s="6"/>
      <c r="D195" s="6">
        <v>2000</v>
      </c>
      <c r="E195" s="6"/>
      <c r="F195" s="6"/>
      <c r="G195" s="6"/>
      <c r="H195" s="6"/>
      <c r="I195" s="6"/>
      <c r="J195" s="6"/>
      <c r="K195" s="6"/>
      <c r="L195" s="6"/>
      <c r="M195" s="5">
        <f t="shared" si="0"/>
        <v>2000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 t="s">
        <v>455</v>
      </c>
      <c r="C196" s="6">
        <v>50000</v>
      </c>
      <c r="D196" s="6"/>
      <c r="E196" s="6"/>
      <c r="F196" s="6"/>
      <c r="G196" s="6"/>
      <c r="H196" s="6"/>
      <c r="I196" s="6"/>
      <c r="J196" s="6"/>
      <c r="K196" s="6"/>
      <c r="L196" s="6"/>
      <c r="M196" s="5">
        <f t="shared" si="0"/>
        <v>50000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 t="s">
        <v>276</v>
      </c>
      <c r="C197" s="6"/>
      <c r="D197" s="6">
        <v>5000</v>
      </c>
      <c r="E197" s="6"/>
      <c r="F197" s="6"/>
      <c r="G197" s="6"/>
      <c r="H197" s="6"/>
      <c r="I197" s="6"/>
      <c r="J197" s="6"/>
      <c r="K197" s="6"/>
      <c r="L197" s="6"/>
      <c r="M197" s="5">
        <f t="shared" si="0"/>
        <v>5000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 t="s">
        <v>456</v>
      </c>
      <c r="C198" s="6">
        <v>13000</v>
      </c>
      <c r="D198" s="6">
        <v>13000</v>
      </c>
      <c r="E198" s="6"/>
      <c r="F198" s="6"/>
      <c r="G198" s="6"/>
      <c r="H198" s="6"/>
      <c r="I198" s="6"/>
      <c r="J198" s="6"/>
      <c r="K198" s="6"/>
      <c r="L198" s="6"/>
      <c r="M198" s="5">
        <f t="shared" si="0"/>
        <v>26000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 t="s">
        <v>268</v>
      </c>
      <c r="C199" s="6">
        <v>1000</v>
      </c>
      <c r="D199" s="6">
        <v>1000</v>
      </c>
      <c r="E199" s="6"/>
      <c r="F199" s="6"/>
      <c r="G199" s="6"/>
      <c r="H199" s="6"/>
      <c r="I199" s="6"/>
      <c r="J199" s="6"/>
      <c r="K199" s="6"/>
      <c r="L199" s="6"/>
      <c r="M199" s="5">
        <f t="shared" si="0"/>
        <v>2000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 t="s">
        <v>457</v>
      </c>
      <c r="C200" s="6"/>
      <c r="D200" s="6">
        <v>1000</v>
      </c>
      <c r="E200" s="6"/>
      <c r="F200" s="6"/>
      <c r="G200" s="6"/>
      <c r="H200" s="6"/>
      <c r="I200" s="6"/>
      <c r="J200" s="6"/>
      <c r="K200" s="6"/>
      <c r="L200" s="6"/>
      <c r="M200" s="5">
        <f t="shared" si="0"/>
        <v>1000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 t="s">
        <v>458</v>
      </c>
      <c r="C201" s="6"/>
      <c r="D201" s="6">
        <v>1000</v>
      </c>
      <c r="E201" s="6"/>
      <c r="F201" s="6"/>
      <c r="G201" s="6"/>
      <c r="H201" s="6"/>
      <c r="I201" s="6"/>
      <c r="J201" s="6"/>
      <c r="K201" s="6"/>
      <c r="L201" s="6"/>
      <c r="M201" s="5">
        <f t="shared" si="0"/>
        <v>1000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 t="s">
        <v>459</v>
      </c>
      <c r="C202" s="6"/>
      <c r="D202" s="6">
        <v>2000</v>
      </c>
      <c r="E202" s="6"/>
      <c r="F202" s="6"/>
      <c r="G202" s="6"/>
      <c r="H202" s="6"/>
      <c r="I202" s="6"/>
      <c r="J202" s="6"/>
      <c r="K202" s="6"/>
      <c r="L202" s="6"/>
      <c r="M202" s="5">
        <f t="shared" si="0"/>
        <v>2000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 t="s">
        <v>460</v>
      </c>
      <c r="C203" s="6"/>
      <c r="D203" s="6">
        <v>1000</v>
      </c>
      <c r="E203" s="6"/>
      <c r="F203" s="6"/>
      <c r="G203" s="6"/>
      <c r="H203" s="6"/>
      <c r="I203" s="6"/>
      <c r="J203" s="6"/>
      <c r="K203" s="6"/>
      <c r="L203" s="6"/>
      <c r="M203" s="5">
        <f t="shared" si="0"/>
        <v>1000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 t="s">
        <v>461</v>
      </c>
      <c r="C204" s="6"/>
      <c r="D204" s="6">
        <v>1000</v>
      </c>
      <c r="E204" s="6"/>
      <c r="F204" s="6"/>
      <c r="G204" s="6"/>
      <c r="H204" s="6"/>
      <c r="I204" s="6"/>
      <c r="J204" s="6"/>
      <c r="K204" s="6"/>
      <c r="L204" s="6"/>
      <c r="M204" s="5">
        <f t="shared" si="0"/>
        <v>1000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 t="s">
        <v>462</v>
      </c>
      <c r="C205" s="6"/>
      <c r="D205" s="6">
        <v>1000</v>
      </c>
      <c r="E205" s="6"/>
      <c r="F205" s="6"/>
      <c r="G205" s="6"/>
      <c r="H205" s="6"/>
      <c r="I205" s="6"/>
      <c r="J205" s="6"/>
      <c r="K205" s="6"/>
      <c r="L205" s="6"/>
      <c r="M205" s="5">
        <f t="shared" si="0"/>
        <v>1000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34"/>
      <c r="B206" s="34" t="s">
        <v>463</v>
      </c>
      <c r="C206" s="34"/>
      <c r="D206" s="34">
        <v>500</v>
      </c>
      <c r="E206" s="34"/>
      <c r="F206" s="34"/>
      <c r="G206" s="34"/>
      <c r="H206" s="34"/>
      <c r="I206" s="34"/>
      <c r="J206" s="34"/>
      <c r="K206" s="34"/>
      <c r="L206" s="34"/>
      <c r="M206" s="75">
        <f t="shared" si="0"/>
        <v>500</v>
      </c>
      <c r="N206" s="34">
        <v>500</v>
      </c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>
      <c r="A207" s="6"/>
      <c r="B207" s="6" t="s">
        <v>464</v>
      </c>
      <c r="C207" s="6"/>
      <c r="D207" s="6">
        <v>1000</v>
      </c>
      <c r="E207" s="6"/>
      <c r="F207" s="6"/>
      <c r="G207" s="6"/>
      <c r="H207" s="6"/>
      <c r="I207" s="6"/>
      <c r="J207" s="6"/>
      <c r="K207" s="6"/>
      <c r="L207" s="6"/>
      <c r="M207" s="5">
        <f t="shared" si="0"/>
        <v>1000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 t="s">
        <v>465</v>
      </c>
      <c r="C208" s="6"/>
      <c r="D208" s="6">
        <v>2000</v>
      </c>
      <c r="E208" s="6"/>
      <c r="F208" s="6"/>
      <c r="G208" s="6"/>
      <c r="H208" s="6"/>
      <c r="I208" s="6"/>
      <c r="J208" s="6"/>
      <c r="K208" s="6"/>
      <c r="L208" s="6"/>
      <c r="M208" s="5">
        <f t="shared" si="0"/>
        <v>2000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 t="s">
        <v>466</v>
      </c>
      <c r="C209" s="6"/>
      <c r="D209" s="6">
        <v>1000</v>
      </c>
      <c r="E209" s="6"/>
      <c r="F209" s="6"/>
      <c r="G209" s="6"/>
      <c r="H209" s="6"/>
      <c r="I209" s="6"/>
      <c r="J209" s="6"/>
      <c r="K209" s="6"/>
      <c r="L209" s="6"/>
      <c r="M209" s="5">
        <f t="shared" si="0"/>
        <v>1000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 t="s">
        <v>467</v>
      </c>
      <c r="C210" s="6"/>
      <c r="D210" s="6">
        <v>2000</v>
      </c>
      <c r="E210" s="6"/>
      <c r="F210" s="6"/>
      <c r="G210" s="6"/>
      <c r="H210" s="6"/>
      <c r="I210" s="6"/>
      <c r="J210" s="6"/>
      <c r="K210" s="6"/>
      <c r="L210" s="6"/>
      <c r="M210" s="5">
        <f t="shared" si="0"/>
        <v>2000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 t="s">
        <v>468</v>
      </c>
      <c r="C211" s="6"/>
      <c r="D211" s="6">
        <v>1000</v>
      </c>
      <c r="E211" s="6"/>
      <c r="F211" s="6"/>
      <c r="G211" s="6"/>
      <c r="H211" s="6"/>
      <c r="I211" s="6"/>
      <c r="J211" s="6"/>
      <c r="K211" s="6"/>
      <c r="L211" s="6"/>
      <c r="M211" s="5">
        <f t="shared" si="0"/>
        <v>1000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 t="s">
        <v>274</v>
      </c>
      <c r="C212" s="6">
        <v>3000</v>
      </c>
      <c r="D212" s="6">
        <v>2000</v>
      </c>
      <c r="E212" s="6"/>
      <c r="F212" s="6"/>
      <c r="G212" s="6"/>
      <c r="H212" s="6"/>
      <c r="I212" s="6"/>
      <c r="J212" s="6"/>
      <c r="K212" s="6"/>
      <c r="L212" s="6"/>
      <c r="M212" s="5">
        <f t="shared" si="0"/>
        <v>5000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 t="s">
        <v>256</v>
      </c>
      <c r="C213" s="6">
        <v>5000</v>
      </c>
      <c r="D213" s="6">
        <v>5000</v>
      </c>
      <c r="E213" s="6"/>
      <c r="F213" s="6"/>
      <c r="G213" s="6"/>
      <c r="H213" s="6"/>
      <c r="I213" s="6"/>
      <c r="J213" s="6"/>
      <c r="K213" s="6"/>
      <c r="L213" s="6"/>
      <c r="M213" s="5">
        <f t="shared" si="0"/>
        <v>10000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 t="s">
        <v>271</v>
      </c>
      <c r="C214" s="6">
        <v>10300</v>
      </c>
      <c r="D214" s="6">
        <v>10300</v>
      </c>
      <c r="E214" s="6"/>
      <c r="F214" s="6"/>
      <c r="G214" s="6"/>
      <c r="H214" s="6"/>
      <c r="I214" s="6"/>
      <c r="J214" s="6"/>
      <c r="K214" s="6"/>
      <c r="L214" s="6"/>
      <c r="M214" s="5">
        <f t="shared" si="0"/>
        <v>20600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 t="s">
        <v>469</v>
      </c>
      <c r="C215" s="6"/>
      <c r="D215" s="6">
        <v>2000</v>
      </c>
      <c r="E215" s="6"/>
      <c r="F215" s="6"/>
      <c r="G215" s="6"/>
      <c r="H215" s="6"/>
      <c r="I215" s="6"/>
      <c r="J215" s="6"/>
      <c r="K215" s="6"/>
      <c r="L215" s="6"/>
      <c r="M215" s="5">
        <f t="shared" si="0"/>
        <v>2000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 t="s">
        <v>470</v>
      </c>
      <c r="C216" s="6">
        <v>10000</v>
      </c>
      <c r="D216" s="6">
        <v>3000</v>
      </c>
      <c r="E216" s="6"/>
      <c r="F216" s="6"/>
      <c r="G216" s="6">
        <v>2000</v>
      </c>
      <c r="H216" s="6"/>
      <c r="I216" s="6"/>
      <c r="J216" s="6"/>
      <c r="K216" s="6"/>
      <c r="L216" s="6"/>
      <c r="M216" s="5">
        <f t="shared" si="0"/>
        <v>15000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 t="s">
        <v>471</v>
      </c>
      <c r="C217" s="6">
        <v>5000</v>
      </c>
      <c r="D217" s="6">
        <v>5000</v>
      </c>
      <c r="E217" s="6"/>
      <c r="F217" s="6"/>
      <c r="G217" s="6"/>
      <c r="H217" s="6"/>
      <c r="I217" s="6"/>
      <c r="J217" s="6"/>
      <c r="K217" s="6"/>
      <c r="L217" s="6"/>
      <c r="M217" s="5">
        <f t="shared" si="0"/>
        <v>10000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 t="s">
        <v>472</v>
      </c>
      <c r="C218" s="6"/>
      <c r="D218" s="6">
        <v>2000</v>
      </c>
      <c r="E218" s="6"/>
      <c r="F218" s="6"/>
      <c r="G218" s="6"/>
      <c r="H218" s="6"/>
      <c r="I218" s="6"/>
      <c r="J218" s="6"/>
      <c r="K218" s="6"/>
      <c r="L218" s="6"/>
      <c r="M218" s="5">
        <f t="shared" si="0"/>
        <v>2000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 t="s">
        <v>473</v>
      </c>
      <c r="C219" s="6"/>
      <c r="D219" s="6">
        <v>20000</v>
      </c>
      <c r="E219" s="6"/>
      <c r="F219" s="6"/>
      <c r="G219" s="6"/>
      <c r="H219" s="6"/>
      <c r="I219" s="6"/>
      <c r="J219" s="6"/>
      <c r="K219" s="6"/>
      <c r="L219" s="6"/>
      <c r="M219" s="5">
        <f t="shared" si="0"/>
        <v>20000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 t="s">
        <v>273</v>
      </c>
      <c r="C220" s="6">
        <v>2500</v>
      </c>
      <c r="D220" s="6">
        <v>2500</v>
      </c>
      <c r="E220" s="6"/>
      <c r="F220" s="6"/>
      <c r="G220" s="6"/>
      <c r="H220" s="6"/>
      <c r="I220" s="6"/>
      <c r="J220" s="6"/>
      <c r="K220" s="6"/>
      <c r="L220" s="6"/>
      <c r="M220" s="5">
        <f t="shared" si="0"/>
        <v>5000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 t="s">
        <v>474</v>
      </c>
      <c r="C221" s="6">
        <v>500</v>
      </c>
      <c r="D221" s="6">
        <v>500</v>
      </c>
      <c r="E221" s="6"/>
      <c r="F221" s="6"/>
      <c r="G221" s="6"/>
      <c r="H221" s="6"/>
      <c r="I221" s="6"/>
      <c r="J221" s="6"/>
      <c r="K221" s="6"/>
      <c r="L221" s="6"/>
      <c r="M221" s="5">
        <f t="shared" si="0"/>
        <v>1000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 t="s">
        <v>475</v>
      </c>
      <c r="C222" s="6"/>
      <c r="D222" s="6">
        <v>2000</v>
      </c>
      <c r="E222" s="6"/>
      <c r="F222" s="6"/>
      <c r="G222" s="6"/>
      <c r="H222" s="6"/>
      <c r="I222" s="6"/>
      <c r="J222" s="6"/>
      <c r="K222" s="6"/>
      <c r="L222" s="6"/>
      <c r="M222" s="5">
        <f t="shared" si="0"/>
        <v>2000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 t="s">
        <v>476</v>
      </c>
      <c r="C223" s="6">
        <v>1000</v>
      </c>
      <c r="D223" s="6"/>
      <c r="E223" s="6"/>
      <c r="F223" s="6"/>
      <c r="G223" s="6"/>
      <c r="H223" s="6"/>
      <c r="I223" s="6"/>
      <c r="J223" s="6"/>
      <c r="K223" s="6"/>
      <c r="L223" s="6"/>
      <c r="M223" s="5">
        <f t="shared" si="0"/>
        <v>1000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 t="s">
        <v>477</v>
      </c>
      <c r="C224" s="6"/>
      <c r="D224" s="6">
        <v>1000</v>
      </c>
      <c r="E224" s="6"/>
      <c r="F224" s="6"/>
      <c r="G224" s="6"/>
      <c r="H224" s="6"/>
      <c r="I224" s="6"/>
      <c r="J224" s="6"/>
      <c r="K224" s="6"/>
      <c r="L224" s="6"/>
      <c r="M224" s="5">
        <f t="shared" si="0"/>
        <v>1000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 t="s">
        <v>266</v>
      </c>
      <c r="C225" s="6">
        <v>500</v>
      </c>
      <c r="D225" s="6">
        <v>500</v>
      </c>
      <c r="E225" s="6"/>
      <c r="F225" s="6"/>
      <c r="G225" s="6"/>
      <c r="H225" s="6"/>
      <c r="I225" s="6"/>
      <c r="J225" s="6"/>
      <c r="K225" s="6"/>
      <c r="L225" s="6"/>
      <c r="M225" s="5">
        <f t="shared" si="0"/>
        <v>1000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 t="s">
        <v>478</v>
      </c>
      <c r="C226" s="6">
        <v>500</v>
      </c>
      <c r="D226" s="6">
        <v>500</v>
      </c>
      <c r="E226" s="6"/>
      <c r="F226" s="6"/>
      <c r="G226" s="6"/>
      <c r="H226" s="6"/>
      <c r="I226" s="6"/>
      <c r="J226" s="6"/>
      <c r="K226" s="6"/>
      <c r="L226" s="6"/>
      <c r="M226" s="5">
        <f t="shared" si="0"/>
        <v>1000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34"/>
      <c r="B227" s="34" t="s">
        <v>479</v>
      </c>
      <c r="C227" s="34"/>
      <c r="D227" s="34">
        <v>2000</v>
      </c>
      <c r="E227" s="34"/>
      <c r="F227" s="34"/>
      <c r="G227" s="34"/>
      <c r="H227" s="34"/>
      <c r="I227" s="34"/>
      <c r="J227" s="34"/>
      <c r="K227" s="34"/>
      <c r="L227" s="34"/>
      <c r="M227" s="75">
        <f t="shared" si="0"/>
        <v>2000</v>
      </c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>
      <c r="A228" s="6"/>
      <c r="B228" s="6" t="s">
        <v>480</v>
      </c>
      <c r="C228" s="6"/>
      <c r="D228" s="6">
        <v>1000</v>
      </c>
      <c r="E228" s="6"/>
      <c r="F228" s="6"/>
      <c r="G228" s="6"/>
      <c r="H228" s="6"/>
      <c r="I228" s="6"/>
      <c r="J228" s="6"/>
      <c r="K228" s="6"/>
      <c r="L228" s="6"/>
      <c r="M228" s="5">
        <f t="shared" si="0"/>
        <v>1000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 t="s">
        <v>481</v>
      </c>
      <c r="C229" s="6"/>
      <c r="D229" s="6">
        <v>1000</v>
      </c>
      <c r="E229" s="6"/>
      <c r="F229" s="6"/>
      <c r="G229" s="6"/>
      <c r="H229" s="6"/>
      <c r="I229" s="6"/>
      <c r="J229" s="6"/>
      <c r="K229" s="6"/>
      <c r="L229" s="6"/>
      <c r="M229" s="5">
        <f t="shared" si="0"/>
        <v>1000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 t="s">
        <v>482</v>
      </c>
      <c r="C230" s="6">
        <v>2000</v>
      </c>
      <c r="D230" s="6"/>
      <c r="E230" s="6"/>
      <c r="F230" s="6"/>
      <c r="G230" s="6"/>
      <c r="H230" s="6"/>
      <c r="I230" s="6"/>
      <c r="J230" s="6"/>
      <c r="K230" s="6"/>
      <c r="L230" s="6"/>
      <c r="M230" s="5">
        <f t="shared" si="0"/>
        <v>2000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 t="s">
        <v>483</v>
      </c>
      <c r="C231" s="6"/>
      <c r="D231" s="6">
        <v>5000</v>
      </c>
      <c r="E231" s="6"/>
      <c r="F231" s="6"/>
      <c r="G231" s="6"/>
      <c r="H231" s="6"/>
      <c r="I231" s="6"/>
      <c r="J231" s="6"/>
      <c r="K231" s="6"/>
      <c r="L231" s="6"/>
      <c r="M231" s="5">
        <f t="shared" si="0"/>
        <v>5000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 t="s">
        <v>484</v>
      </c>
      <c r="C232" s="6"/>
      <c r="D232" s="6">
        <v>1000</v>
      </c>
      <c r="E232" s="6"/>
      <c r="F232" s="6"/>
      <c r="G232" s="6"/>
      <c r="H232" s="6"/>
      <c r="I232" s="6"/>
      <c r="J232" s="6"/>
      <c r="K232" s="6"/>
      <c r="L232" s="6"/>
      <c r="M232" s="5">
        <f t="shared" si="0"/>
        <v>1000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 t="s">
        <v>485</v>
      </c>
      <c r="C233" s="6"/>
      <c r="D233" s="6">
        <v>500</v>
      </c>
      <c r="E233" s="6"/>
      <c r="F233" s="6"/>
      <c r="G233" s="6"/>
      <c r="H233" s="6"/>
      <c r="I233" s="6"/>
      <c r="J233" s="6"/>
      <c r="K233" s="6"/>
      <c r="L233" s="6"/>
      <c r="M233" s="5">
        <f t="shared" si="0"/>
        <v>500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 t="s">
        <v>486</v>
      </c>
      <c r="C234" s="6"/>
      <c r="D234" s="6">
        <v>1000</v>
      </c>
      <c r="E234" s="6"/>
      <c r="F234" s="6"/>
      <c r="G234" s="6"/>
      <c r="H234" s="6"/>
      <c r="I234" s="6"/>
      <c r="J234" s="6"/>
      <c r="K234" s="6"/>
      <c r="L234" s="6"/>
      <c r="M234" s="5">
        <f t="shared" si="0"/>
        <v>1000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 t="s">
        <v>487</v>
      </c>
      <c r="C235" s="6"/>
      <c r="D235" s="6">
        <v>1000</v>
      </c>
      <c r="E235" s="6"/>
      <c r="F235" s="6"/>
      <c r="G235" s="6"/>
      <c r="H235" s="6"/>
      <c r="I235" s="6"/>
      <c r="J235" s="6"/>
      <c r="K235" s="6"/>
      <c r="L235" s="6"/>
      <c r="M235" s="5">
        <f t="shared" si="0"/>
        <v>1000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 t="s">
        <v>488</v>
      </c>
      <c r="C236" s="6"/>
      <c r="D236" s="6">
        <v>10000</v>
      </c>
      <c r="E236" s="6"/>
      <c r="F236" s="6"/>
      <c r="G236" s="6"/>
      <c r="H236" s="6"/>
      <c r="I236" s="6"/>
      <c r="J236" s="6"/>
      <c r="K236" s="6"/>
      <c r="L236" s="6"/>
      <c r="M236" s="5">
        <f t="shared" si="0"/>
        <v>10000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 t="s">
        <v>489</v>
      </c>
      <c r="C237" s="6"/>
      <c r="D237" s="6">
        <v>1000</v>
      </c>
      <c r="E237" s="6"/>
      <c r="F237" s="6"/>
      <c r="G237" s="6"/>
      <c r="H237" s="6"/>
      <c r="I237" s="6"/>
      <c r="J237" s="6"/>
      <c r="K237" s="6"/>
      <c r="L237" s="6"/>
      <c r="M237" s="5">
        <f t="shared" si="0"/>
        <v>1000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 t="s">
        <v>490</v>
      </c>
      <c r="C238" s="6"/>
      <c r="D238" s="6">
        <v>1000</v>
      </c>
      <c r="E238" s="6"/>
      <c r="F238" s="6"/>
      <c r="G238" s="6"/>
      <c r="H238" s="6"/>
      <c r="I238" s="6"/>
      <c r="J238" s="6"/>
      <c r="K238" s="6"/>
      <c r="L238" s="6"/>
      <c r="M238" s="5">
        <f t="shared" si="0"/>
        <v>1000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 t="s">
        <v>491</v>
      </c>
      <c r="C239" s="6"/>
      <c r="D239" s="6">
        <v>1000</v>
      </c>
      <c r="E239" s="6"/>
      <c r="F239" s="6"/>
      <c r="G239" s="6"/>
      <c r="H239" s="6"/>
      <c r="I239" s="6"/>
      <c r="J239" s="6"/>
      <c r="K239" s="6"/>
      <c r="L239" s="6"/>
      <c r="M239" s="5">
        <f t="shared" si="0"/>
        <v>1000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 t="s">
        <v>221</v>
      </c>
      <c r="C240" s="6"/>
      <c r="D240" s="6"/>
      <c r="E240" s="6">
        <v>280250</v>
      </c>
      <c r="F240" s="6"/>
      <c r="G240" s="6"/>
      <c r="H240" s="6"/>
      <c r="I240" s="6"/>
      <c r="J240" s="6"/>
      <c r="K240" s="6"/>
      <c r="L240" s="6"/>
      <c r="M240" s="5">
        <f t="shared" si="0"/>
        <v>280250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5">
        <f t="shared" si="0"/>
        <v>0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5">
        <f t="shared" si="0"/>
        <v>0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5">
        <f t="shared" si="0"/>
        <v>0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5">
        <f t="shared" si="0"/>
        <v>0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>
        <f t="shared" ref="M292:M297" si="11">SUM(C292:L292)</f>
        <v>0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>
        <f t="shared" si="11"/>
        <v>0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>
        <v>300000</v>
      </c>
      <c r="E294" s="6"/>
      <c r="F294" s="6"/>
      <c r="G294" s="6"/>
      <c r="H294" s="6"/>
      <c r="I294" s="6"/>
      <c r="J294" s="6"/>
      <c r="K294" s="6"/>
      <c r="L294" s="6"/>
      <c r="M294" s="6">
        <f t="shared" si="11"/>
        <v>300000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 t="s">
        <v>174</v>
      </c>
      <c r="C295" s="6">
        <v>40000</v>
      </c>
      <c r="D295" s="6">
        <v>40000</v>
      </c>
      <c r="E295" s="6"/>
      <c r="F295" s="6"/>
      <c r="G295" s="6"/>
      <c r="H295" s="6"/>
      <c r="I295" s="6"/>
      <c r="J295" s="6"/>
      <c r="K295" s="6"/>
      <c r="L295" s="6"/>
      <c r="M295" s="6">
        <f t="shared" si="11"/>
        <v>80000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 t="s">
        <v>247</v>
      </c>
      <c r="C296" s="6"/>
      <c r="D296" s="6">
        <v>80000</v>
      </c>
      <c r="E296" s="6"/>
      <c r="F296" s="6"/>
      <c r="G296" s="6"/>
      <c r="H296" s="6"/>
      <c r="I296" s="6"/>
      <c r="J296" s="6"/>
      <c r="K296" s="6"/>
      <c r="L296" s="6"/>
      <c r="M296" s="6">
        <f t="shared" si="11"/>
        <v>80000</v>
      </c>
      <c r="N296" s="6" t="s">
        <v>237</v>
      </c>
      <c r="O296" s="76" t="s">
        <v>493</v>
      </c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>
        <f>SUM(C241:C296)</f>
        <v>40000</v>
      </c>
      <c r="D297" s="6"/>
      <c r="E297" s="6"/>
      <c r="F297" s="6"/>
      <c r="G297" s="6"/>
      <c r="H297" s="6"/>
      <c r="I297" s="6"/>
      <c r="J297" s="6"/>
      <c r="K297" s="6"/>
      <c r="L297" s="6"/>
      <c r="M297" s="6">
        <f t="shared" si="11"/>
        <v>40000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6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 t="e">
        <f>SUM(M3:M241)</f>
        <v>#REF!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>
        <f>SUM(M248:M296)</f>
        <v>460000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 t="s">
        <v>494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>
        <f>L303-301</f>
        <v>-301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 t="s">
        <v>235</v>
      </c>
      <c r="L305" s="6" t="e">
        <f t="shared" ref="L305:L306" si="12">J301</f>
        <v>#REF!</v>
      </c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 t="s">
        <v>237</v>
      </c>
      <c r="L306" s="6">
        <f t="shared" si="12"/>
        <v>460000</v>
      </c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77" t="e">
        <f>SUM(L305:L306)</f>
        <v>#REF!</v>
      </c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77" t="s">
        <v>495</v>
      </c>
      <c r="D314" s="77" t="s">
        <v>496</v>
      </c>
      <c r="E314" s="77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5.5" customHeight="1">
      <c r="A315" s="6"/>
      <c r="B315" s="6" t="s">
        <v>497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5.5" customHeight="1">
      <c r="A316" s="6"/>
      <c r="B316" s="6" t="s">
        <v>244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5.5" customHeight="1">
      <c r="A317" s="6"/>
      <c r="B317" s="6" t="s">
        <v>492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7.75" customHeight="1">
      <c r="A320" s="6"/>
      <c r="B320" s="6" t="s">
        <v>498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7.75" customHeight="1">
      <c r="A321" s="6"/>
      <c r="B321" s="6" t="s">
        <v>499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3" customHeight="1">
      <c r="A322" s="6"/>
      <c r="B322" s="6" t="s">
        <v>525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/>
    <row r="524" spans="1:26" ht="15.75" customHeight="1"/>
    <row r="525" spans="1:26" ht="15.75" customHeight="1"/>
    <row r="526" spans="1:26" ht="15.75" customHeight="1"/>
    <row r="527" spans="1:26" ht="15.75" customHeight="1"/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25" right="0.25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1000"/>
  <sheetViews>
    <sheetView workbookViewId="0"/>
  </sheetViews>
  <sheetFormatPr defaultColWidth="14.47265625" defaultRowHeight="15" customHeight="1"/>
  <cols>
    <col min="1" max="1" width="50" customWidth="1"/>
    <col min="2" max="2" width="47.26171875" customWidth="1"/>
    <col min="3" max="3" width="14.5234375" customWidth="1"/>
    <col min="4" max="4" width="12.1015625" customWidth="1"/>
    <col min="5" max="5" width="19.1015625" customWidth="1"/>
    <col min="6" max="6" width="14.5234375" customWidth="1"/>
    <col min="7" max="7" width="5.5234375" customWidth="1"/>
    <col min="8" max="8" width="0.7890625" hidden="1" customWidth="1"/>
    <col min="9" max="9" width="8.734375" hidden="1" customWidth="1"/>
    <col min="10" max="10" width="10.1015625" customWidth="1"/>
    <col min="11" max="11" width="7.7890625" customWidth="1"/>
    <col min="12" max="12" width="50" customWidth="1"/>
    <col min="13" max="13" width="9" customWidth="1"/>
    <col min="14" max="14" width="15.734375" customWidth="1"/>
    <col min="15" max="15" width="112.5234375" customWidth="1"/>
    <col min="16" max="16" width="15.734375" customWidth="1"/>
    <col min="17" max="17" width="14.5234375" customWidth="1"/>
    <col min="18" max="18" width="15.734375" customWidth="1"/>
    <col min="19" max="25" width="9.1015625" customWidth="1"/>
    <col min="26" max="26" width="8.734375" customWidth="1"/>
  </cols>
  <sheetData>
    <row r="1" spans="1:26" ht="15.75" customHeight="1">
      <c r="A1" s="53"/>
      <c r="B1" s="5" t="s">
        <v>501</v>
      </c>
      <c r="C1" s="5"/>
      <c r="D1" s="5"/>
      <c r="E1" s="11"/>
      <c r="F1" s="11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6"/>
      <c r="B2" s="5" t="s">
        <v>502</v>
      </c>
      <c r="C2" s="5"/>
      <c r="D2" s="5"/>
      <c r="E2" s="11"/>
      <c r="F2" s="11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6"/>
      <c r="B3" s="5" t="s">
        <v>503</v>
      </c>
      <c r="C3" s="5"/>
      <c r="D3" s="5"/>
      <c r="E3" s="53"/>
      <c r="F3" s="11"/>
      <c r="G3" s="6"/>
      <c r="H3" s="6"/>
      <c r="I3" s="6"/>
      <c r="J3" s="6"/>
      <c r="K3" s="6"/>
      <c r="L3" s="53"/>
      <c r="M3" s="5">
        <f t="shared" ref="M3:M244" si="0">SUM(C3:L3)</f>
        <v>0</v>
      </c>
      <c r="N3" s="5"/>
      <c r="O3" s="5"/>
      <c r="P3" s="11"/>
      <c r="Q3" s="11"/>
      <c r="R3" s="11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5" t="s">
        <v>504</v>
      </c>
      <c r="B4" s="5"/>
      <c r="C4" s="6"/>
      <c r="D4" s="6"/>
      <c r="E4" s="6"/>
      <c r="F4" s="11"/>
      <c r="G4" s="6"/>
      <c r="H4" s="6"/>
      <c r="I4" s="6"/>
      <c r="J4" s="6"/>
      <c r="K4" s="6"/>
      <c r="L4" s="6"/>
      <c r="M4" s="5">
        <f t="shared" si="0"/>
        <v>0</v>
      </c>
      <c r="N4" s="5"/>
      <c r="O4" s="5"/>
      <c r="P4" s="11"/>
      <c r="Q4" s="11"/>
      <c r="R4" s="11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35" t="s">
        <v>526</v>
      </c>
      <c r="B5" s="35"/>
      <c r="C5" s="6"/>
      <c r="D5" s="6"/>
      <c r="E5" s="6"/>
      <c r="F5" s="6"/>
      <c r="G5" s="6"/>
      <c r="H5" s="6"/>
      <c r="I5" s="6"/>
      <c r="J5" s="6"/>
      <c r="K5" s="6"/>
      <c r="L5" s="6"/>
      <c r="M5" s="5">
        <f t="shared" si="0"/>
        <v>0</v>
      </c>
      <c r="N5" s="5"/>
      <c r="O5" s="5"/>
      <c r="P5" s="53"/>
      <c r="Q5" s="53"/>
      <c r="R5" s="11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54" t="s">
        <v>495</v>
      </c>
      <c r="B6" s="55" t="s">
        <v>294</v>
      </c>
      <c r="C6" s="55">
        <v>45962</v>
      </c>
      <c r="D6" s="56">
        <v>2000</v>
      </c>
      <c r="E6" s="56" t="s">
        <v>506</v>
      </c>
      <c r="F6" s="57" t="s">
        <v>12</v>
      </c>
      <c r="G6" s="6"/>
      <c r="H6" s="6"/>
      <c r="I6" s="6"/>
      <c r="J6" s="6"/>
      <c r="K6" s="6"/>
      <c r="L6" s="5" t="s">
        <v>504</v>
      </c>
      <c r="M6" s="58">
        <f t="shared" si="0"/>
        <v>47962</v>
      </c>
      <c r="N6" s="6"/>
      <c r="O6" s="6"/>
      <c r="P6" s="6"/>
      <c r="Q6" s="6"/>
      <c r="R6" s="11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" t="s">
        <v>507</v>
      </c>
      <c r="B7" s="8" t="s">
        <v>295</v>
      </c>
      <c r="C7" s="59">
        <v>500</v>
      </c>
      <c r="D7" s="59">
        <v>500</v>
      </c>
      <c r="E7" s="59"/>
      <c r="F7" s="60">
        <f t="shared" ref="F7:F11" si="1">SUM(B7:E7)</f>
        <v>1000</v>
      </c>
      <c r="G7" s="6"/>
      <c r="H7" s="6"/>
      <c r="I7" s="6"/>
      <c r="J7" s="6"/>
      <c r="K7" s="6"/>
      <c r="L7" s="35" t="s">
        <v>527</v>
      </c>
      <c r="M7" s="30">
        <f t="shared" si="0"/>
        <v>2000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" t="s">
        <v>508</v>
      </c>
      <c r="B8" s="59" t="s">
        <v>296</v>
      </c>
      <c r="C8" s="59">
        <v>10000</v>
      </c>
      <c r="D8" s="59">
        <v>5000</v>
      </c>
      <c r="E8" s="59"/>
      <c r="F8" s="60">
        <f t="shared" si="1"/>
        <v>15000</v>
      </c>
      <c r="G8" s="6"/>
      <c r="H8" s="6"/>
      <c r="I8" s="6"/>
      <c r="J8" s="6"/>
      <c r="K8" s="6"/>
      <c r="L8" s="54" t="s">
        <v>495</v>
      </c>
      <c r="M8" s="30">
        <f t="shared" si="0"/>
        <v>30000</v>
      </c>
      <c r="N8" s="55" t="s">
        <v>505</v>
      </c>
      <c r="O8" s="56" t="s">
        <v>506</v>
      </c>
      <c r="P8" s="56">
        <v>45659</v>
      </c>
      <c r="Q8" s="56">
        <v>45871</v>
      </c>
      <c r="R8" s="57" t="s">
        <v>12</v>
      </c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" t="s">
        <v>500</v>
      </c>
      <c r="B9" s="59" t="s">
        <v>258</v>
      </c>
      <c r="C9" s="59" t="e">
        <f>#REF!</f>
        <v>#REF!</v>
      </c>
      <c r="D9" s="59">
        <v>1000</v>
      </c>
      <c r="E9" s="59"/>
      <c r="F9" s="60" t="e">
        <f t="shared" si="1"/>
        <v>#REF!</v>
      </c>
      <c r="G9" s="6"/>
      <c r="H9" s="6"/>
      <c r="I9" s="6"/>
      <c r="J9" s="6"/>
      <c r="K9" s="6"/>
      <c r="L9" s="7" t="s">
        <v>507</v>
      </c>
      <c r="M9" s="30" t="e">
        <f t="shared" si="0"/>
        <v>#REF!</v>
      </c>
      <c r="N9" s="59">
        <v>3426196</v>
      </c>
      <c r="O9" s="59">
        <v>12676588</v>
      </c>
      <c r="P9" s="59">
        <v>9424508</v>
      </c>
      <c r="Q9" s="59">
        <v>4366191.8</v>
      </c>
      <c r="R9" s="60" t="e">
        <f t="shared" ref="R9:R11" si="2">SUM(M9:Q9)</f>
        <v>#REF!</v>
      </c>
      <c r="S9" s="6"/>
      <c r="T9" s="6"/>
      <c r="U9" s="6"/>
      <c r="V9" s="6"/>
      <c r="W9" s="11"/>
      <c r="X9" s="28"/>
      <c r="Y9" s="28"/>
      <c r="Z9" s="6"/>
    </row>
    <row r="10" spans="1:26" ht="15.75" customHeight="1">
      <c r="A10" s="7" t="s">
        <v>509</v>
      </c>
      <c r="B10" s="59" t="s">
        <v>297</v>
      </c>
      <c r="C10" s="59">
        <v>500</v>
      </c>
      <c r="D10" s="59">
        <v>1000</v>
      </c>
      <c r="E10" s="59"/>
      <c r="F10" s="60">
        <f t="shared" si="1"/>
        <v>1500</v>
      </c>
      <c r="G10" s="6"/>
      <c r="H10" s="6"/>
      <c r="I10" s="6"/>
      <c r="J10" s="6"/>
      <c r="K10" s="6"/>
      <c r="L10" s="7" t="s">
        <v>508</v>
      </c>
      <c r="M10" s="30">
        <f t="shared" si="0"/>
        <v>3000</v>
      </c>
      <c r="N10" s="59">
        <v>1277229.6000000001</v>
      </c>
      <c r="O10" s="59">
        <v>3240910.08</v>
      </c>
      <c r="P10" s="59">
        <v>2175169.36</v>
      </c>
      <c r="Q10" s="59">
        <v>2048576.36</v>
      </c>
      <c r="R10" s="60">
        <f t="shared" si="2"/>
        <v>8744885.3999999985</v>
      </c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7" t="s">
        <v>5</v>
      </c>
      <c r="B11" s="59" t="s">
        <v>298</v>
      </c>
      <c r="C11" s="59">
        <v>30000</v>
      </c>
      <c r="D11" s="59">
        <v>5000</v>
      </c>
      <c r="E11" s="59"/>
      <c r="F11" s="60">
        <f t="shared" si="1"/>
        <v>35000</v>
      </c>
      <c r="G11" s="6"/>
      <c r="H11" s="6"/>
      <c r="I11" s="6"/>
      <c r="J11" s="6"/>
      <c r="K11" s="6"/>
      <c r="L11" s="7" t="s">
        <v>500</v>
      </c>
      <c r="M11" s="30">
        <f t="shared" si="0"/>
        <v>70000</v>
      </c>
      <c r="N11" s="59">
        <v>5000</v>
      </c>
      <c r="O11" s="61">
        <v>4400</v>
      </c>
      <c r="P11" s="59">
        <v>11600</v>
      </c>
      <c r="Q11" s="59">
        <v>4500</v>
      </c>
      <c r="R11" s="60">
        <f t="shared" si="2"/>
        <v>95500</v>
      </c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62" t="s">
        <v>510</v>
      </c>
      <c r="B12" s="63" t="s">
        <v>299</v>
      </c>
      <c r="C12" s="63" t="e">
        <f>SUM(C7:C11)</f>
        <v>#REF!</v>
      </c>
      <c r="D12" s="63">
        <v>10000</v>
      </c>
      <c r="E12" s="63">
        <f t="shared" ref="E12:F12" si="3">SUM(E7:E11)</f>
        <v>0</v>
      </c>
      <c r="F12" s="63" t="e">
        <f t="shared" si="3"/>
        <v>#REF!</v>
      </c>
      <c r="G12" s="6"/>
      <c r="H12" s="6"/>
      <c r="I12" s="6"/>
      <c r="J12" s="6"/>
      <c r="K12" s="6"/>
      <c r="L12" s="7" t="s">
        <v>509</v>
      </c>
      <c r="M12" s="52" t="e">
        <f t="shared" si="0"/>
        <v>#REF!</v>
      </c>
      <c r="N12" s="59"/>
      <c r="O12" s="59"/>
      <c r="P12" s="59"/>
      <c r="Q12" s="59"/>
      <c r="R12" s="60" t="e">
        <f>SUM(M12:P12)</f>
        <v>#REF!</v>
      </c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6"/>
      <c r="B13" s="64" t="s">
        <v>300</v>
      </c>
      <c r="C13" s="64"/>
      <c r="D13" s="64">
        <v>200</v>
      </c>
      <c r="E13" s="64"/>
      <c r="F13" s="64"/>
      <c r="G13" s="6"/>
      <c r="H13" s="6"/>
      <c r="I13" s="6"/>
      <c r="J13" s="6"/>
      <c r="K13" s="6"/>
      <c r="L13" s="7" t="s">
        <v>5</v>
      </c>
      <c r="M13" s="5">
        <f t="shared" si="0"/>
        <v>200</v>
      </c>
      <c r="N13" s="59">
        <v>346840</v>
      </c>
      <c r="O13" s="59">
        <v>663752</v>
      </c>
      <c r="P13" s="59">
        <v>23954</v>
      </c>
      <c r="Q13" s="59">
        <v>23200</v>
      </c>
      <c r="R13" s="60">
        <f>SUM(M13:Q13)</f>
        <v>1057946</v>
      </c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65" t="s">
        <v>528</v>
      </c>
      <c r="B14" s="64" t="s">
        <v>301</v>
      </c>
      <c r="C14" s="64"/>
      <c r="D14" s="64">
        <v>1000</v>
      </c>
      <c r="E14" s="64"/>
      <c r="F14" s="64"/>
      <c r="G14" s="6"/>
      <c r="H14" s="6"/>
      <c r="I14" s="6"/>
      <c r="J14" s="6"/>
      <c r="K14" s="6"/>
      <c r="L14" s="62" t="s">
        <v>510</v>
      </c>
      <c r="M14" s="5">
        <f t="shared" si="0"/>
        <v>1000</v>
      </c>
      <c r="N14" s="63">
        <f t="shared" ref="N14:R14" si="4">SUM(N9:N13)</f>
        <v>5055265.5999999996</v>
      </c>
      <c r="O14" s="63">
        <f t="shared" si="4"/>
        <v>16585650.08</v>
      </c>
      <c r="P14" s="63">
        <f t="shared" si="4"/>
        <v>11635231.359999999</v>
      </c>
      <c r="Q14" s="63">
        <f t="shared" si="4"/>
        <v>6442468.1600000001</v>
      </c>
      <c r="R14" s="63" t="e">
        <f t="shared" si="4"/>
        <v>#REF!</v>
      </c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54" t="s">
        <v>495</v>
      </c>
      <c r="B15" s="55" t="s">
        <v>302</v>
      </c>
      <c r="C15" s="66">
        <v>2000</v>
      </c>
      <c r="D15" s="67" t="s">
        <v>520</v>
      </c>
      <c r="E15" s="67" t="s">
        <v>506</v>
      </c>
      <c r="F15" s="68" t="s">
        <v>12</v>
      </c>
      <c r="G15" s="6"/>
      <c r="H15" s="6"/>
      <c r="I15" s="6"/>
      <c r="J15" s="6"/>
      <c r="K15" s="6"/>
      <c r="L15" s="6"/>
      <c r="M15" s="58">
        <f t="shared" si="0"/>
        <v>2000</v>
      </c>
      <c r="N15" s="64"/>
      <c r="O15" s="64"/>
      <c r="P15" s="64"/>
      <c r="Q15" s="64"/>
      <c r="R15" s="61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7" t="s">
        <v>511</v>
      </c>
      <c r="B16" s="59" t="s">
        <v>303</v>
      </c>
      <c r="C16" s="59" t="e">
        <f>#REF!</f>
        <v>#REF!</v>
      </c>
      <c r="D16" s="59">
        <v>1000</v>
      </c>
      <c r="E16" s="59"/>
      <c r="F16" s="60" t="e">
        <f t="shared" ref="F16:F22" si="5">SUM(B16:E16)</f>
        <v>#REF!</v>
      </c>
      <c r="G16" s="6"/>
      <c r="H16" s="6"/>
      <c r="I16" s="6"/>
      <c r="J16" s="6"/>
      <c r="K16" s="6"/>
      <c r="L16" s="65" t="s">
        <v>529</v>
      </c>
      <c r="M16" s="30" t="e">
        <f t="shared" si="0"/>
        <v>#REF!</v>
      </c>
      <c r="N16" s="64"/>
      <c r="O16" s="64"/>
      <c r="P16" s="64"/>
      <c r="Q16" s="64"/>
      <c r="R16" s="64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7" t="s">
        <v>240</v>
      </c>
      <c r="B17" s="59" t="s">
        <v>286</v>
      </c>
      <c r="C17" s="59" t="e">
        <f>#REF!</f>
        <v>#REF!</v>
      </c>
      <c r="D17" s="59">
        <v>1000</v>
      </c>
      <c r="E17" s="59"/>
      <c r="F17" s="60" t="e">
        <f t="shared" si="5"/>
        <v>#REF!</v>
      </c>
      <c r="G17" s="6"/>
      <c r="H17" s="6"/>
      <c r="I17" s="6"/>
      <c r="J17" s="6"/>
      <c r="K17" s="6"/>
      <c r="L17" s="54" t="s">
        <v>495</v>
      </c>
      <c r="M17" s="30" t="e">
        <f t="shared" si="0"/>
        <v>#REF!</v>
      </c>
      <c r="N17" s="66" t="s">
        <v>505</v>
      </c>
      <c r="O17" s="67" t="s">
        <v>506</v>
      </c>
      <c r="P17" s="67">
        <v>45659</v>
      </c>
      <c r="Q17" s="67">
        <v>45871</v>
      </c>
      <c r="R17" s="68" t="s">
        <v>12</v>
      </c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7" t="s">
        <v>5</v>
      </c>
      <c r="B18" s="59" t="s">
        <v>304</v>
      </c>
      <c r="C18" s="59" t="e">
        <f>#REF!</f>
        <v>#REF!</v>
      </c>
      <c r="D18" s="59">
        <v>2000</v>
      </c>
      <c r="E18" s="59"/>
      <c r="F18" s="60" t="e">
        <f t="shared" si="5"/>
        <v>#REF!</v>
      </c>
      <c r="G18" s="6"/>
      <c r="H18" s="6"/>
      <c r="I18" s="6"/>
      <c r="J18" s="6"/>
      <c r="K18" s="6"/>
      <c r="L18" s="7" t="s">
        <v>511</v>
      </c>
      <c r="M18" s="30" t="e">
        <f t="shared" si="0"/>
        <v>#REF!</v>
      </c>
      <c r="N18" s="59">
        <v>924890.4</v>
      </c>
      <c r="O18" s="59">
        <v>2346865.92</v>
      </c>
      <c r="P18" s="59">
        <v>1575122.64</v>
      </c>
      <c r="Q18" s="59">
        <v>1483451.84</v>
      </c>
      <c r="R18" s="60" t="e">
        <f>SUM(M18:Q18)</f>
        <v>#REF!</v>
      </c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7" t="s">
        <v>241</v>
      </c>
      <c r="B19" s="59" t="s">
        <v>284</v>
      </c>
      <c r="C19" s="59">
        <v>390000</v>
      </c>
      <c r="D19" s="59">
        <v>2000</v>
      </c>
      <c r="E19" s="59"/>
      <c r="F19" s="60">
        <f t="shared" si="5"/>
        <v>392000</v>
      </c>
      <c r="G19" s="6"/>
      <c r="H19" s="6"/>
      <c r="I19" s="6"/>
      <c r="J19" s="6"/>
      <c r="K19" s="6"/>
      <c r="L19" s="7" t="s">
        <v>240</v>
      </c>
      <c r="M19" s="30">
        <f t="shared" si="0"/>
        <v>784000</v>
      </c>
      <c r="N19" s="59">
        <v>3660000</v>
      </c>
      <c r="O19" s="59"/>
      <c r="P19" s="59"/>
      <c r="Q19" s="59"/>
      <c r="R19" s="60">
        <f>SUM(M19:P19)</f>
        <v>4444000</v>
      </c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7" t="s">
        <v>7</v>
      </c>
      <c r="B20" s="59" t="s">
        <v>305</v>
      </c>
      <c r="C20" s="59">
        <v>57300</v>
      </c>
      <c r="D20" s="59">
        <v>61700</v>
      </c>
      <c r="E20" s="59">
        <v>40000</v>
      </c>
      <c r="F20" s="60">
        <f t="shared" si="5"/>
        <v>159000</v>
      </c>
      <c r="G20" s="6"/>
      <c r="H20" s="6"/>
      <c r="I20" s="6"/>
      <c r="J20" s="6"/>
      <c r="K20" s="6"/>
      <c r="L20" s="7" t="s">
        <v>5</v>
      </c>
      <c r="M20" s="30">
        <f t="shared" si="0"/>
        <v>318000</v>
      </c>
      <c r="N20" s="59">
        <v>251160</v>
      </c>
      <c r="O20" s="59">
        <v>480648</v>
      </c>
      <c r="P20" s="59">
        <v>17346</v>
      </c>
      <c r="Q20" s="59">
        <v>16800</v>
      </c>
      <c r="R20" s="60">
        <f t="shared" ref="R20:R21" si="6">SUM(M20:Q20)</f>
        <v>1083954</v>
      </c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7" t="s">
        <v>4</v>
      </c>
      <c r="B21" s="59" t="s">
        <v>254</v>
      </c>
      <c r="C21" s="59">
        <v>250</v>
      </c>
      <c r="D21" s="59">
        <v>250</v>
      </c>
      <c r="E21" s="59"/>
      <c r="F21" s="60">
        <f t="shared" si="5"/>
        <v>500</v>
      </c>
      <c r="G21" s="6"/>
      <c r="H21" s="6"/>
      <c r="I21" s="6"/>
      <c r="J21" s="6"/>
      <c r="K21" s="6"/>
      <c r="L21" s="7" t="s">
        <v>241</v>
      </c>
      <c r="M21" s="30">
        <f t="shared" si="0"/>
        <v>1000</v>
      </c>
      <c r="N21" s="59">
        <v>110000</v>
      </c>
      <c r="O21" s="59">
        <v>3320000</v>
      </c>
      <c r="P21" s="59">
        <v>561900</v>
      </c>
      <c r="Q21" s="59">
        <v>1261500</v>
      </c>
      <c r="R21" s="60">
        <f t="shared" si="6"/>
        <v>5254400</v>
      </c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7" t="s">
        <v>243</v>
      </c>
      <c r="B22" s="59" t="s">
        <v>306</v>
      </c>
      <c r="C22" s="59">
        <v>1000</v>
      </c>
      <c r="D22" s="59"/>
      <c r="E22" s="59"/>
      <c r="F22" s="60">
        <f t="shared" si="5"/>
        <v>1000</v>
      </c>
      <c r="G22" s="6"/>
      <c r="H22" s="6"/>
      <c r="I22" s="6"/>
      <c r="J22" s="6"/>
      <c r="K22" s="6"/>
      <c r="L22" s="7" t="s">
        <v>246</v>
      </c>
      <c r="M22" s="30">
        <f t="shared" si="0"/>
        <v>2000</v>
      </c>
      <c r="N22" s="6"/>
      <c r="O22" s="59">
        <v>40000</v>
      </c>
      <c r="P22" s="59"/>
      <c r="Q22" s="59"/>
      <c r="R22" s="60">
        <f>SUM(M22:P22)</f>
        <v>42000</v>
      </c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7"/>
      <c r="B23" s="59" t="s">
        <v>267</v>
      </c>
      <c r="C23" s="59"/>
      <c r="D23" s="59">
        <v>5000</v>
      </c>
      <c r="E23" s="59"/>
      <c r="F23" s="60"/>
      <c r="G23" s="6"/>
      <c r="H23" s="6"/>
      <c r="I23" s="6"/>
      <c r="J23" s="6"/>
      <c r="K23" s="6"/>
      <c r="L23" s="7" t="s">
        <v>4</v>
      </c>
      <c r="M23" s="30">
        <f t="shared" si="0"/>
        <v>5000</v>
      </c>
      <c r="N23" s="59">
        <v>253500</v>
      </c>
      <c r="O23" s="59">
        <v>145100</v>
      </c>
      <c r="P23" s="59">
        <v>159550</v>
      </c>
      <c r="Q23" s="59">
        <v>175800</v>
      </c>
      <c r="R23" s="60">
        <f>SUM(M23:Q23)</f>
        <v>738950</v>
      </c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2" t="s">
        <v>512</v>
      </c>
      <c r="B24" s="69" t="s">
        <v>307</v>
      </c>
      <c r="C24" s="69">
        <v>1000</v>
      </c>
      <c r="D24" s="69">
        <v>1000</v>
      </c>
      <c r="E24" s="69">
        <f t="shared" ref="E24:F24" si="7">SUM(E16:E23)</f>
        <v>40000</v>
      </c>
      <c r="F24" s="69" t="e">
        <f t="shared" si="7"/>
        <v>#REF!</v>
      </c>
      <c r="G24" s="6"/>
      <c r="H24" s="6"/>
      <c r="I24" s="6"/>
      <c r="J24" s="6"/>
      <c r="K24" s="6"/>
      <c r="L24" s="7" t="s">
        <v>245</v>
      </c>
      <c r="M24" s="30" t="e">
        <f t="shared" si="0"/>
        <v>#REF!</v>
      </c>
      <c r="N24" s="59">
        <v>576000</v>
      </c>
      <c r="O24" s="59"/>
      <c r="P24" s="59"/>
      <c r="Q24" s="59"/>
      <c r="R24" s="60" t="e">
        <f>SUM(M24:P24)</f>
        <v>#REF!</v>
      </c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64" t="s">
        <v>308</v>
      </c>
      <c r="C25" s="64">
        <v>1000</v>
      </c>
      <c r="D25" s="64">
        <v>1000</v>
      </c>
      <c r="E25" s="64"/>
      <c r="F25" s="64"/>
      <c r="G25" s="6"/>
      <c r="H25" s="6"/>
      <c r="I25" s="6"/>
      <c r="J25" s="6"/>
      <c r="K25" s="6"/>
      <c r="L25" s="7"/>
      <c r="M25" s="5">
        <f t="shared" si="0"/>
        <v>2000</v>
      </c>
      <c r="N25" s="59"/>
      <c r="O25" s="59"/>
      <c r="P25" s="59"/>
      <c r="Q25" s="59"/>
      <c r="R25" s="60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18" t="s">
        <v>513</v>
      </c>
      <c r="B26" s="70" t="s">
        <v>309</v>
      </c>
      <c r="C26" s="70" t="e">
        <f t="shared" ref="C26:F26" si="8">C12+C24</f>
        <v>#REF!</v>
      </c>
      <c r="D26" s="70">
        <f t="shared" si="8"/>
        <v>11000</v>
      </c>
      <c r="E26" s="70">
        <f t="shared" si="8"/>
        <v>40000</v>
      </c>
      <c r="F26" s="71" t="e">
        <f t="shared" si="8"/>
        <v>#REF!</v>
      </c>
      <c r="G26" s="6">
        <v>2000</v>
      </c>
      <c r="H26" s="6"/>
      <c r="I26" s="6"/>
      <c r="J26" s="6"/>
      <c r="K26" s="6"/>
      <c r="L26" s="62" t="s">
        <v>512</v>
      </c>
      <c r="M26" s="30" t="e">
        <f t="shared" si="0"/>
        <v>#REF!</v>
      </c>
      <c r="N26" s="69">
        <f t="shared" ref="N26:P26" si="9">SUM(N18:N25)</f>
        <v>5775550.4000000004</v>
      </c>
      <c r="O26" s="69">
        <f t="shared" si="9"/>
        <v>6332613.9199999999</v>
      </c>
      <c r="P26" s="69">
        <f t="shared" si="9"/>
        <v>2313918.6399999997</v>
      </c>
      <c r="Q26" s="69">
        <f>SUM(Q18:Q23)</f>
        <v>2937551.84</v>
      </c>
      <c r="R26" s="69" t="e">
        <f>SUM(R18:R25)</f>
        <v>#REF!</v>
      </c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 t="s">
        <v>310</v>
      </c>
      <c r="C27" s="6">
        <v>7000</v>
      </c>
      <c r="D27" s="6">
        <v>3000</v>
      </c>
      <c r="E27" s="6"/>
      <c r="F27" s="6"/>
      <c r="G27" s="6"/>
      <c r="H27" s="6"/>
      <c r="I27" s="6"/>
      <c r="J27" s="6"/>
      <c r="K27" s="6"/>
      <c r="L27" s="6"/>
      <c r="M27" s="5">
        <f t="shared" si="0"/>
        <v>10000</v>
      </c>
      <c r="N27" s="64"/>
      <c r="O27" s="64"/>
      <c r="P27" s="64"/>
      <c r="Q27" s="64"/>
      <c r="R27" s="64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 t="s">
        <v>514</v>
      </c>
      <c r="B28" s="6" t="s">
        <v>263</v>
      </c>
      <c r="C28" s="6"/>
      <c r="D28" s="6">
        <v>100</v>
      </c>
      <c r="E28" s="6"/>
      <c r="F28" s="6"/>
      <c r="G28" s="6"/>
      <c r="H28" s="6"/>
      <c r="I28" s="6"/>
      <c r="J28" s="6"/>
      <c r="K28" s="6"/>
      <c r="L28" s="18" t="s">
        <v>513</v>
      </c>
      <c r="M28" s="5">
        <f t="shared" si="0"/>
        <v>100</v>
      </c>
      <c r="N28" s="70">
        <f t="shared" ref="N28:R28" si="10">N14+N26</f>
        <v>10830816</v>
      </c>
      <c r="O28" s="70">
        <f t="shared" si="10"/>
        <v>22918264</v>
      </c>
      <c r="P28" s="70">
        <f t="shared" si="10"/>
        <v>13949150</v>
      </c>
      <c r="Q28" s="70">
        <f t="shared" si="10"/>
        <v>9380020</v>
      </c>
      <c r="R28" s="71" t="e">
        <f t="shared" si="10"/>
        <v>#REF!</v>
      </c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 t="s">
        <v>515</v>
      </c>
      <c r="B29" s="6" t="s">
        <v>311</v>
      </c>
      <c r="C29" s="6"/>
      <c r="D29" s="6">
        <v>1000</v>
      </c>
      <c r="E29" s="72" t="s">
        <v>522</v>
      </c>
      <c r="F29" s="34"/>
      <c r="G29" s="6"/>
      <c r="H29" s="6"/>
      <c r="I29" s="6"/>
      <c r="J29" s="6"/>
      <c r="K29" s="6"/>
      <c r="L29" s="6"/>
      <c r="M29" s="5">
        <f t="shared" si="0"/>
        <v>1000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 t="s">
        <v>516</v>
      </c>
      <c r="B30" s="6" t="s">
        <v>312</v>
      </c>
      <c r="C30" s="6"/>
      <c r="D30" s="6">
        <v>1000</v>
      </c>
      <c r="E30" s="73" t="s">
        <v>523</v>
      </c>
      <c r="F30" s="72" t="s">
        <v>524</v>
      </c>
      <c r="G30" s="6"/>
      <c r="H30" s="6"/>
      <c r="I30" s="6"/>
      <c r="J30" s="6"/>
      <c r="K30" s="6"/>
      <c r="L30" s="6" t="s">
        <v>514</v>
      </c>
      <c r="M30" s="5">
        <f t="shared" si="0"/>
        <v>1000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 t="s">
        <v>313</v>
      </c>
      <c r="C31" s="6"/>
      <c r="D31" s="6">
        <v>50</v>
      </c>
      <c r="E31" s="6"/>
      <c r="F31" s="6"/>
      <c r="G31" s="6"/>
      <c r="H31" s="6"/>
      <c r="I31" s="6"/>
      <c r="J31" s="6"/>
      <c r="K31" s="6"/>
      <c r="L31" s="6" t="s">
        <v>515</v>
      </c>
      <c r="M31" s="5">
        <f t="shared" si="0"/>
        <v>50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 t="s">
        <v>314</v>
      </c>
      <c r="C32" s="6">
        <v>500</v>
      </c>
      <c r="D32" s="6">
        <v>500</v>
      </c>
      <c r="E32" s="6"/>
      <c r="F32" s="6"/>
      <c r="G32" s="6"/>
      <c r="H32" s="6"/>
      <c r="I32" s="6"/>
      <c r="J32" s="6"/>
      <c r="K32" s="6"/>
      <c r="L32" s="6" t="s">
        <v>516</v>
      </c>
      <c r="M32" s="5">
        <f t="shared" si="0"/>
        <v>1000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 t="s">
        <v>315</v>
      </c>
      <c r="C33" s="6">
        <v>500</v>
      </c>
      <c r="D33" s="6">
        <v>500</v>
      </c>
      <c r="E33" s="6"/>
      <c r="F33" s="6"/>
      <c r="G33" s="6"/>
      <c r="H33" s="6"/>
      <c r="I33" s="6"/>
      <c r="J33" s="6"/>
      <c r="K33" s="6"/>
      <c r="L33" s="6"/>
      <c r="M33" s="5">
        <f t="shared" si="0"/>
        <v>1000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 t="s">
        <v>316</v>
      </c>
      <c r="C34" s="6"/>
      <c r="D34" s="6">
        <v>2000</v>
      </c>
      <c r="E34" s="6"/>
      <c r="F34" s="6"/>
      <c r="G34" s="6"/>
      <c r="H34" s="6"/>
      <c r="I34" s="6"/>
      <c r="J34" s="6"/>
      <c r="K34" s="6"/>
      <c r="L34" s="6"/>
      <c r="M34" s="5">
        <f t="shared" si="0"/>
        <v>2000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 t="s">
        <v>317</v>
      </c>
      <c r="C35" s="6"/>
      <c r="D35" s="6">
        <v>1000</v>
      </c>
      <c r="E35" s="6"/>
      <c r="F35" s="6"/>
      <c r="G35" s="6"/>
      <c r="H35" s="6"/>
      <c r="I35" s="6"/>
      <c r="J35" s="6"/>
      <c r="K35" s="6"/>
      <c r="L35" s="6"/>
      <c r="M35" s="5">
        <f t="shared" si="0"/>
        <v>1000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 t="s">
        <v>318</v>
      </c>
      <c r="C36" s="6"/>
      <c r="D36" s="11">
        <v>1000</v>
      </c>
      <c r="E36" s="6"/>
      <c r="F36" s="6"/>
      <c r="G36" s="6"/>
      <c r="H36" s="6"/>
      <c r="I36" s="6"/>
      <c r="J36" s="6"/>
      <c r="K36" s="6"/>
      <c r="L36" s="6"/>
      <c r="M36" s="5">
        <f t="shared" si="0"/>
        <v>1000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 t="s">
        <v>319</v>
      </c>
      <c r="C37" s="6">
        <v>2100</v>
      </c>
      <c r="D37" s="6"/>
      <c r="E37" s="6"/>
      <c r="F37" s="6"/>
      <c r="G37" s="6"/>
      <c r="H37" s="6"/>
      <c r="I37" s="6"/>
      <c r="J37" s="6"/>
      <c r="K37" s="6"/>
      <c r="L37" s="6"/>
      <c r="M37" s="5">
        <f t="shared" si="0"/>
        <v>2100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 t="s">
        <v>320</v>
      </c>
      <c r="C38" s="6"/>
      <c r="D38" s="6">
        <v>2000</v>
      </c>
      <c r="E38" s="6"/>
      <c r="F38" s="6"/>
      <c r="G38" s="6"/>
      <c r="H38" s="6"/>
      <c r="I38" s="6"/>
      <c r="J38" s="6"/>
      <c r="K38" s="6"/>
      <c r="L38" s="6"/>
      <c r="M38" s="5">
        <f t="shared" si="0"/>
        <v>2000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 t="s">
        <v>321</v>
      </c>
      <c r="C39" s="6"/>
      <c r="D39" s="6">
        <v>1000</v>
      </c>
      <c r="E39" s="6"/>
      <c r="F39" s="6"/>
      <c r="G39" s="6"/>
      <c r="H39" s="6"/>
      <c r="I39" s="6"/>
      <c r="J39" s="6"/>
      <c r="K39" s="6"/>
      <c r="L39" s="6"/>
      <c r="M39" s="5">
        <f t="shared" si="0"/>
        <v>1000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 t="s">
        <v>322</v>
      </c>
      <c r="C40" s="6"/>
      <c r="D40" s="6">
        <v>2000</v>
      </c>
      <c r="E40" s="6"/>
      <c r="F40" s="6"/>
      <c r="G40" s="6"/>
      <c r="H40" s="6"/>
      <c r="I40" s="6"/>
      <c r="J40" s="6"/>
      <c r="K40" s="6"/>
      <c r="L40" s="6"/>
      <c r="M40" s="5">
        <f t="shared" si="0"/>
        <v>2000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 t="s">
        <v>323</v>
      </c>
      <c r="C41" s="6">
        <v>1000</v>
      </c>
      <c r="D41" s="6">
        <v>1000</v>
      </c>
      <c r="E41" s="6"/>
      <c r="F41" s="6"/>
      <c r="G41" s="6"/>
      <c r="H41" s="6"/>
      <c r="I41" s="6"/>
      <c r="J41" s="6"/>
      <c r="K41" s="6"/>
      <c r="L41" s="6"/>
      <c r="M41" s="5">
        <f t="shared" si="0"/>
        <v>2000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 t="s">
        <v>324</v>
      </c>
      <c r="C42" s="6">
        <v>10000</v>
      </c>
      <c r="D42" s="6">
        <v>1000</v>
      </c>
      <c r="E42" s="6"/>
      <c r="F42" s="6"/>
      <c r="G42" s="6"/>
      <c r="H42" s="6"/>
      <c r="I42" s="6"/>
      <c r="J42" s="6"/>
      <c r="K42" s="6"/>
      <c r="L42" s="6"/>
      <c r="M42" s="5">
        <f t="shared" si="0"/>
        <v>11000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 t="s">
        <v>325</v>
      </c>
      <c r="C43" s="6"/>
      <c r="D43" s="6">
        <v>1000</v>
      </c>
      <c r="E43" s="6"/>
      <c r="F43" s="6">
        <v>5000</v>
      </c>
      <c r="G43" s="6"/>
      <c r="H43" s="6"/>
      <c r="I43" s="6"/>
      <c r="J43" s="6"/>
      <c r="K43" s="6"/>
      <c r="L43" s="6"/>
      <c r="M43" s="5">
        <f t="shared" si="0"/>
        <v>6000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 t="s">
        <v>326</v>
      </c>
      <c r="C44" s="6"/>
      <c r="D44" s="6">
        <v>5000</v>
      </c>
      <c r="E44" s="6"/>
      <c r="F44" s="6"/>
      <c r="G44" s="6"/>
      <c r="H44" s="6"/>
      <c r="I44" s="6"/>
      <c r="J44" s="6"/>
      <c r="K44" s="6"/>
      <c r="L44" s="6"/>
      <c r="M44" s="5">
        <f t="shared" si="0"/>
        <v>5000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 t="s">
        <v>327</v>
      </c>
      <c r="C45" s="6"/>
      <c r="D45" s="6">
        <v>5000</v>
      </c>
      <c r="E45" s="6"/>
      <c r="F45" s="6"/>
      <c r="G45" s="6"/>
      <c r="H45" s="6"/>
      <c r="I45" s="6"/>
      <c r="J45" s="6"/>
      <c r="K45" s="6">
        <v>5000</v>
      </c>
      <c r="L45" s="6"/>
      <c r="M45" s="5">
        <f t="shared" si="0"/>
        <v>10000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 t="s">
        <v>328</v>
      </c>
      <c r="C46" s="6">
        <v>208000</v>
      </c>
      <c r="D46" s="6">
        <v>12000</v>
      </c>
      <c r="E46" s="6"/>
      <c r="F46" s="6">
        <v>50000</v>
      </c>
      <c r="G46" s="6"/>
      <c r="H46" s="6"/>
      <c r="I46" s="6"/>
      <c r="J46" s="6"/>
      <c r="K46" s="6"/>
      <c r="L46" s="6"/>
      <c r="M46" s="5">
        <f t="shared" si="0"/>
        <v>270000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 t="s">
        <v>329</v>
      </c>
      <c r="C47" s="6">
        <v>5000</v>
      </c>
      <c r="D47" s="6">
        <v>5000</v>
      </c>
      <c r="E47" s="6"/>
      <c r="F47" s="6"/>
      <c r="G47" s="6"/>
      <c r="H47" s="6"/>
      <c r="I47" s="6"/>
      <c r="J47" s="6"/>
      <c r="K47" s="6"/>
      <c r="L47" s="6"/>
      <c r="M47" s="5">
        <f t="shared" si="0"/>
        <v>10000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 t="s">
        <v>330</v>
      </c>
      <c r="C48" s="6">
        <v>10000</v>
      </c>
      <c r="D48" s="6"/>
      <c r="E48" s="6"/>
      <c r="F48" s="6"/>
      <c r="G48" s="6"/>
      <c r="H48" s="6"/>
      <c r="I48" s="6"/>
      <c r="J48" s="6"/>
      <c r="K48" s="6"/>
      <c r="L48" s="6"/>
      <c r="M48" s="5">
        <f t="shared" si="0"/>
        <v>10000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 t="s">
        <v>331</v>
      </c>
      <c r="C49" s="6">
        <v>2000</v>
      </c>
      <c r="D49" s="6">
        <v>2000</v>
      </c>
      <c r="E49" s="6"/>
      <c r="F49" s="6"/>
      <c r="G49" s="6"/>
      <c r="H49" s="6"/>
      <c r="I49" s="6"/>
      <c r="J49" s="6"/>
      <c r="K49" s="6"/>
      <c r="L49" s="6"/>
      <c r="M49" s="5">
        <f t="shared" si="0"/>
        <v>4000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 t="s">
        <v>332</v>
      </c>
      <c r="C50" s="6">
        <v>50000</v>
      </c>
      <c r="D50" s="6"/>
      <c r="E50" s="6"/>
      <c r="F50" s="6"/>
      <c r="G50" s="6"/>
      <c r="H50" s="6"/>
      <c r="I50" s="6"/>
      <c r="J50" s="6"/>
      <c r="K50" s="6"/>
      <c r="L50" s="6"/>
      <c r="M50" s="5">
        <f t="shared" si="0"/>
        <v>50000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 t="s">
        <v>333</v>
      </c>
      <c r="C51" s="6">
        <v>4000</v>
      </c>
      <c r="D51" s="6">
        <v>4000</v>
      </c>
      <c r="E51" s="6"/>
      <c r="F51" s="6"/>
      <c r="G51" s="6"/>
      <c r="H51" s="6"/>
      <c r="I51" s="6"/>
      <c r="J51" s="6"/>
      <c r="K51" s="6"/>
      <c r="L51" s="6"/>
      <c r="M51" s="5">
        <f t="shared" si="0"/>
        <v>8000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 t="s">
        <v>334</v>
      </c>
      <c r="C52" s="6"/>
      <c r="D52" s="6">
        <v>1000</v>
      </c>
      <c r="E52" s="6"/>
      <c r="F52" s="6"/>
      <c r="G52" s="6"/>
      <c r="H52" s="6"/>
      <c r="I52" s="6"/>
      <c r="J52" s="6"/>
      <c r="K52" s="6"/>
      <c r="L52" s="6"/>
      <c r="M52" s="5">
        <f t="shared" si="0"/>
        <v>1000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 t="s">
        <v>270</v>
      </c>
      <c r="C53" s="6"/>
      <c r="D53" s="6">
        <v>30000</v>
      </c>
      <c r="E53" s="6"/>
      <c r="F53" s="6"/>
      <c r="G53" s="6"/>
      <c r="H53" s="6"/>
      <c r="I53" s="6"/>
      <c r="J53" s="6"/>
      <c r="K53" s="6"/>
      <c r="L53" s="6"/>
      <c r="M53" s="5">
        <f t="shared" si="0"/>
        <v>30000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 t="s">
        <v>335</v>
      </c>
      <c r="C54" s="6"/>
      <c r="D54" s="6">
        <v>2000</v>
      </c>
      <c r="E54" s="6"/>
      <c r="F54" s="6"/>
      <c r="G54" s="6"/>
      <c r="H54" s="6"/>
      <c r="I54" s="6"/>
      <c r="J54" s="6"/>
      <c r="K54" s="6"/>
      <c r="L54" s="6"/>
      <c r="M54" s="5">
        <f t="shared" si="0"/>
        <v>2000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 t="s">
        <v>336</v>
      </c>
      <c r="C55" s="6"/>
      <c r="D55" s="6">
        <v>10000</v>
      </c>
      <c r="E55" s="6"/>
      <c r="F55" s="6"/>
      <c r="G55" s="6"/>
      <c r="H55" s="6"/>
      <c r="I55" s="6"/>
      <c r="J55" s="6"/>
      <c r="K55" s="6"/>
      <c r="L55" s="6"/>
      <c r="M55" s="5">
        <f t="shared" si="0"/>
        <v>10000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 t="s">
        <v>337</v>
      </c>
      <c r="C56" s="6">
        <v>2500</v>
      </c>
      <c r="D56" s="6">
        <v>2500</v>
      </c>
      <c r="E56" s="6"/>
      <c r="F56" s="6"/>
      <c r="G56" s="6"/>
      <c r="H56" s="6"/>
      <c r="I56" s="6"/>
      <c r="J56" s="6"/>
      <c r="K56" s="6"/>
      <c r="L56" s="6"/>
      <c r="M56" s="5">
        <f t="shared" si="0"/>
        <v>5000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 t="s">
        <v>338</v>
      </c>
      <c r="C57" s="6">
        <v>350000</v>
      </c>
      <c r="D57" s="6">
        <v>350000</v>
      </c>
      <c r="E57" s="6"/>
      <c r="F57" s="6"/>
      <c r="G57" s="6"/>
      <c r="H57" s="6"/>
      <c r="I57" s="6"/>
      <c r="J57" s="6"/>
      <c r="K57" s="6"/>
      <c r="L57" s="6"/>
      <c r="M57" s="5">
        <f t="shared" si="0"/>
        <v>700000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 t="s">
        <v>339</v>
      </c>
      <c r="C58" s="6"/>
      <c r="D58" s="6">
        <v>1200</v>
      </c>
      <c r="E58" s="6"/>
      <c r="F58" s="6"/>
      <c r="G58" s="6"/>
      <c r="H58" s="6"/>
      <c r="I58" s="6"/>
      <c r="J58" s="6"/>
      <c r="K58" s="6"/>
      <c r="L58" s="6"/>
      <c r="M58" s="5">
        <f t="shared" si="0"/>
        <v>1200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 t="s">
        <v>340</v>
      </c>
      <c r="C59" s="6"/>
      <c r="D59" s="6">
        <v>2000</v>
      </c>
      <c r="E59" s="6"/>
      <c r="F59" s="6"/>
      <c r="G59" s="6"/>
      <c r="H59" s="6"/>
      <c r="I59" s="6"/>
      <c r="J59" s="6"/>
      <c r="K59" s="6"/>
      <c r="L59" s="6"/>
      <c r="M59" s="5">
        <f t="shared" si="0"/>
        <v>2000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 t="s">
        <v>341</v>
      </c>
      <c r="C60" s="6"/>
      <c r="D60" s="6">
        <v>500</v>
      </c>
      <c r="E60" s="6"/>
      <c r="F60" s="6"/>
      <c r="G60" s="6"/>
      <c r="H60" s="6"/>
      <c r="I60" s="6"/>
      <c r="J60" s="6"/>
      <c r="K60" s="6"/>
      <c r="L60" s="6"/>
      <c r="M60" s="5">
        <f t="shared" si="0"/>
        <v>500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 t="s">
        <v>342</v>
      </c>
      <c r="C61" s="6"/>
      <c r="D61" s="6">
        <v>2000</v>
      </c>
      <c r="E61" s="6"/>
      <c r="F61" s="6"/>
      <c r="G61" s="6"/>
      <c r="H61" s="6"/>
      <c r="I61" s="6"/>
      <c r="J61" s="6"/>
      <c r="K61" s="6"/>
      <c r="L61" s="6"/>
      <c r="M61" s="5">
        <f t="shared" si="0"/>
        <v>2000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 t="s">
        <v>343</v>
      </c>
      <c r="C62" s="6"/>
      <c r="D62" s="6">
        <v>1000</v>
      </c>
      <c r="E62" s="6"/>
      <c r="F62" s="6"/>
      <c r="G62" s="6"/>
      <c r="H62" s="6"/>
      <c r="I62" s="6"/>
      <c r="J62" s="6"/>
      <c r="K62" s="6"/>
      <c r="L62" s="6"/>
      <c r="M62" s="5">
        <f t="shared" si="0"/>
        <v>1000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 t="s">
        <v>344</v>
      </c>
      <c r="C63" s="6">
        <v>2000</v>
      </c>
      <c r="D63" s="6">
        <v>2000</v>
      </c>
      <c r="E63" s="6"/>
      <c r="F63" s="6"/>
      <c r="G63" s="6"/>
      <c r="H63" s="6"/>
      <c r="I63" s="6"/>
      <c r="J63" s="6"/>
      <c r="K63" s="6"/>
      <c r="L63" s="6"/>
      <c r="M63" s="5">
        <f t="shared" si="0"/>
        <v>4000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 t="s">
        <v>345</v>
      </c>
      <c r="C64" s="6"/>
      <c r="D64" s="6">
        <v>10000</v>
      </c>
      <c r="E64" s="6"/>
      <c r="F64" s="6"/>
      <c r="G64" s="6"/>
      <c r="H64" s="6"/>
      <c r="I64" s="6"/>
      <c r="J64" s="6"/>
      <c r="K64" s="6"/>
      <c r="L64" s="6"/>
      <c r="M64" s="5">
        <f t="shared" si="0"/>
        <v>10000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 t="s">
        <v>346</v>
      </c>
      <c r="C65" s="6">
        <v>25000</v>
      </c>
      <c r="D65" s="6"/>
      <c r="E65" s="6"/>
      <c r="F65" s="6"/>
      <c r="G65" s="6"/>
      <c r="H65" s="6"/>
      <c r="I65" s="6"/>
      <c r="J65" s="6"/>
      <c r="K65" s="6"/>
      <c r="L65" s="6"/>
      <c r="M65" s="5">
        <f t="shared" si="0"/>
        <v>25000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 t="s">
        <v>347</v>
      </c>
      <c r="C66" s="6">
        <v>5000</v>
      </c>
      <c r="D66" s="6">
        <v>2000</v>
      </c>
      <c r="E66" s="6"/>
      <c r="F66" s="6"/>
      <c r="G66" s="6"/>
      <c r="H66" s="6"/>
      <c r="I66" s="6"/>
      <c r="J66" s="6"/>
      <c r="K66" s="6"/>
      <c r="L66" s="6"/>
      <c r="M66" s="5">
        <f t="shared" si="0"/>
        <v>7000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 t="s">
        <v>348</v>
      </c>
      <c r="C67" s="6"/>
      <c r="D67" s="6">
        <v>500</v>
      </c>
      <c r="E67" s="6"/>
      <c r="F67" s="6"/>
      <c r="G67" s="6"/>
      <c r="H67" s="6"/>
      <c r="I67" s="6"/>
      <c r="J67" s="6"/>
      <c r="K67" s="6"/>
      <c r="L67" s="6"/>
      <c r="M67" s="5">
        <f t="shared" si="0"/>
        <v>500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 t="s">
        <v>261</v>
      </c>
      <c r="C68" s="6">
        <v>5000</v>
      </c>
      <c r="D68" s="6"/>
      <c r="E68" s="6"/>
      <c r="F68" s="6"/>
      <c r="G68" s="6"/>
      <c r="H68" s="6"/>
      <c r="I68" s="6"/>
      <c r="J68" s="6"/>
      <c r="K68" s="6"/>
      <c r="L68" s="6"/>
      <c r="M68" s="5">
        <f t="shared" si="0"/>
        <v>5000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 t="s">
        <v>349</v>
      </c>
      <c r="C69" s="6"/>
      <c r="D69" s="6">
        <v>2000</v>
      </c>
      <c r="E69" s="6"/>
      <c r="F69" s="6"/>
      <c r="G69" s="6"/>
      <c r="H69" s="6"/>
      <c r="I69" s="6"/>
      <c r="J69" s="6"/>
      <c r="K69" s="6"/>
      <c r="L69" s="6"/>
      <c r="M69" s="5">
        <f t="shared" si="0"/>
        <v>2000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 t="s">
        <v>350</v>
      </c>
      <c r="C70" s="6">
        <v>1000</v>
      </c>
      <c r="D70" s="6"/>
      <c r="E70" s="6"/>
      <c r="F70" s="6"/>
      <c r="G70" s="6"/>
      <c r="H70" s="6"/>
      <c r="I70" s="6"/>
      <c r="J70" s="6"/>
      <c r="K70" s="6"/>
      <c r="L70" s="6"/>
      <c r="M70" s="5">
        <f t="shared" si="0"/>
        <v>1000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 t="s">
        <v>351</v>
      </c>
      <c r="C71" s="6"/>
      <c r="D71" s="6">
        <v>10000</v>
      </c>
      <c r="E71" s="6"/>
      <c r="F71" s="6"/>
      <c r="G71" s="6"/>
      <c r="H71" s="6"/>
      <c r="I71" s="6"/>
      <c r="J71" s="6"/>
      <c r="K71" s="6"/>
      <c r="L71" s="6"/>
      <c r="M71" s="5">
        <f t="shared" si="0"/>
        <v>10000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 t="s">
        <v>352</v>
      </c>
      <c r="C72" s="6"/>
      <c r="D72" s="6">
        <v>10000</v>
      </c>
      <c r="E72" s="6"/>
      <c r="F72" s="6"/>
      <c r="G72" s="6"/>
      <c r="H72" s="6"/>
      <c r="I72" s="6"/>
      <c r="J72" s="6"/>
      <c r="K72" s="6"/>
      <c r="L72" s="6"/>
      <c r="M72" s="5">
        <f t="shared" si="0"/>
        <v>10000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 t="s">
        <v>353</v>
      </c>
      <c r="C73" s="6">
        <v>50000</v>
      </c>
      <c r="D73" s="6">
        <v>50000</v>
      </c>
      <c r="E73" s="6"/>
      <c r="F73" s="6"/>
      <c r="G73" s="6"/>
      <c r="H73" s="6"/>
      <c r="I73" s="6"/>
      <c r="J73" s="6"/>
      <c r="K73" s="6"/>
      <c r="L73" s="6"/>
      <c r="M73" s="5">
        <f t="shared" si="0"/>
        <v>100000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 t="s">
        <v>354</v>
      </c>
      <c r="C74" s="6">
        <v>1000</v>
      </c>
      <c r="D74" s="6">
        <v>1000</v>
      </c>
      <c r="E74" s="6"/>
      <c r="F74" s="6"/>
      <c r="G74" s="6"/>
      <c r="H74" s="6"/>
      <c r="I74" s="6"/>
      <c r="J74" s="6"/>
      <c r="K74" s="6"/>
      <c r="L74" s="6"/>
      <c r="M74" s="5">
        <f t="shared" si="0"/>
        <v>2000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 t="s">
        <v>355</v>
      </c>
      <c r="C75" s="6"/>
      <c r="D75" s="6">
        <v>2000</v>
      </c>
      <c r="E75" s="6"/>
      <c r="F75" s="6"/>
      <c r="G75" s="6"/>
      <c r="H75" s="6"/>
      <c r="I75" s="6"/>
      <c r="J75" s="6"/>
      <c r="K75" s="6"/>
      <c r="L75" s="6"/>
      <c r="M75" s="5">
        <f t="shared" si="0"/>
        <v>2000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 t="s">
        <v>356</v>
      </c>
      <c r="C76" s="6">
        <v>10000</v>
      </c>
      <c r="D76" s="6"/>
      <c r="E76" s="6"/>
      <c r="F76" s="6"/>
      <c r="G76" s="6"/>
      <c r="H76" s="6"/>
      <c r="I76" s="6"/>
      <c r="J76" s="6"/>
      <c r="K76" s="6"/>
      <c r="L76" s="6"/>
      <c r="M76" s="5">
        <f t="shared" si="0"/>
        <v>10000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 t="s">
        <v>264</v>
      </c>
      <c r="C77" s="6">
        <v>12000</v>
      </c>
      <c r="D77" s="6">
        <v>12000</v>
      </c>
      <c r="E77" s="6"/>
      <c r="F77" s="6"/>
      <c r="G77" s="6"/>
      <c r="H77" s="6"/>
      <c r="I77" s="6"/>
      <c r="J77" s="6"/>
      <c r="K77" s="6"/>
      <c r="L77" s="6"/>
      <c r="M77" s="5">
        <f t="shared" si="0"/>
        <v>24000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 t="s">
        <v>357</v>
      </c>
      <c r="C78" s="6">
        <v>18000</v>
      </c>
      <c r="D78" s="6"/>
      <c r="E78" s="6"/>
      <c r="F78" s="6"/>
      <c r="G78" s="6"/>
      <c r="H78" s="6"/>
      <c r="I78" s="6"/>
      <c r="J78" s="6"/>
      <c r="K78" s="6"/>
      <c r="L78" s="6"/>
      <c r="M78" s="5">
        <f t="shared" si="0"/>
        <v>18000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 t="s">
        <v>358</v>
      </c>
      <c r="C79" s="6"/>
      <c r="D79" s="6">
        <v>2000</v>
      </c>
      <c r="E79" s="6"/>
      <c r="F79" s="6"/>
      <c r="G79" s="6"/>
      <c r="H79" s="6"/>
      <c r="I79" s="6"/>
      <c r="J79" s="6"/>
      <c r="K79" s="6"/>
      <c r="L79" s="6"/>
      <c r="M79" s="5">
        <f t="shared" si="0"/>
        <v>2000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 t="s">
        <v>359</v>
      </c>
      <c r="C80" s="6"/>
      <c r="D80" s="6">
        <v>2000</v>
      </c>
      <c r="E80" s="6"/>
      <c r="F80" s="6"/>
      <c r="G80" s="6"/>
      <c r="H80" s="6"/>
      <c r="I80" s="6"/>
      <c r="J80" s="6"/>
      <c r="K80" s="6"/>
      <c r="L80" s="6"/>
      <c r="M80" s="5">
        <f t="shared" si="0"/>
        <v>2000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 t="s">
        <v>360</v>
      </c>
      <c r="C81" s="6">
        <v>500</v>
      </c>
      <c r="D81" s="6">
        <v>4500</v>
      </c>
      <c r="E81" s="6"/>
      <c r="F81" s="6"/>
      <c r="G81" s="6"/>
      <c r="H81" s="6"/>
      <c r="I81" s="6"/>
      <c r="J81" s="6"/>
      <c r="K81" s="6"/>
      <c r="L81" s="6"/>
      <c r="M81" s="5">
        <f t="shared" si="0"/>
        <v>5000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 t="s">
        <v>255</v>
      </c>
      <c r="C82" s="6"/>
      <c r="D82" s="6">
        <v>2000</v>
      </c>
      <c r="E82" s="6"/>
      <c r="F82" s="6"/>
      <c r="G82" s="6"/>
      <c r="H82" s="6"/>
      <c r="I82" s="6"/>
      <c r="J82" s="6"/>
      <c r="K82" s="6"/>
      <c r="L82" s="6"/>
      <c r="M82" s="5">
        <f t="shared" si="0"/>
        <v>2000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 t="s">
        <v>361</v>
      </c>
      <c r="C83" s="6">
        <v>1000</v>
      </c>
      <c r="D83" s="6">
        <v>9000</v>
      </c>
      <c r="E83" s="6"/>
      <c r="F83" s="6"/>
      <c r="G83" s="6"/>
      <c r="H83" s="6"/>
      <c r="I83" s="6"/>
      <c r="J83" s="6"/>
      <c r="K83" s="6"/>
      <c r="L83" s="6"/>
      <c r="M83" s="5">
        <f t="shared" si="0"/>
        <v>10000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 t="s">
        <v>362</v>
      </c>
      <c r="C84" s="6">
        <v>100000</v>
      </c>
      <c r="D84" s="6">
        <v>100000</v>
      </c>
      <c r="E84" s="6"/>
      <c r="F84" s="6"/>
      <c r="G84" s="6"/>
      <c r="H84" s="6"/>
      <c r="I84" s="6"/>
      <c r="J84" s="6"/>
      <c r="K84" s="6">
        <v>200000</v>
      </c>
      <c r="L84" s="6"/>
      <c r="M84" s="5">
        <f t="shared" si="0"/>
        <v>400000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 t="s">
        <v>363</v>
      </c>
      <c r="C85" s="6"/>
      <c r="D85" s="6">
        <v>1000</v>
      </c>
      <c r="E85" s="6"/>
      <c r="F85" s="6"/>
      <c r="G85" s="6"/>
      <c r="H85" s="6"/>
      <c r="I85" s="6"/>
      <c r="J85" s="6"/>
      <c r="K85" s="6"/>
      <c r="L85" s="6"/>
      <c r="M85" s="5">
        <f t="shared" si="0"/>
        <v>1000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 t="s">
        <v>364</v>
      </c>
      <c r="C86" s="6">
        <v>7500</v>
      </c>
      <c r="D86" s="6">
        <v>7500</v>
      </c>
      <c r="E86" s="6"/>
      <c r="F86" s="6"/>
      <c r="G86" s="6"/>
      <c r="H86" s="6"/>
      <c r="I86" s="6"/>
      <c r="J86" s="6"/>
      <c r="K86" s="6"/>
      <c r="L86" s="6"/>
      <c r="M86" s="5">
        <f t="shared" si="0"/>
        <v>15000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 t="s">
        <v>365</v>
      </c>
      <c r="C87" s="6"/>
      <c r="D87" s="6">
        <v>1000</v>
      </c>
      <c r="E87" s="6"/>
      <c r="F87" s="6"/>
      <c r="G87" s="6"/>
      <c r="H87" s="6"/>
      <c r="I87" s="6"/>
      <c r="J87" s="6"/>
      <c r="K87" s="6"/>
      <c r="L87" s="6"/>
      <c r="M87" s="5">
        <f t="shared" si="0"/>
        <v>1000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 t="s">
        <v>366</v>
      </c>
      <c r="C88" s="6"/>
      <c r="D88" s="6">
        <v>3000</v>
      </c>
      <c r="E88" s="6"/>
      <c r="F88" s="6"/>
      <c r="G88" s="6"/>
      <c r="H88" s="6"/>
      <c r="I88" s="6"/>
      <c r="J88" s="6"/>
      <c r="K88" s="6"/>
      <c r="L88" s="6"/>
      <c r="M88" s="5">
        <f t="shared" si="0"/>
        <v>3000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 t="s">
        <v>367</v>
      </c>
      <c r="C89" s="6">
        <v>1000</v>
      </c>
      <c r="D89" s="6">
        <v>1000</v>
      </c>
      <c r="E89" s="6"/>
      <c r="F89" s="6"/>
      <c r="G89" s="6"/>
      <c r="H89" s="6"/>
      <c r="I89" s="6"/>
      <c r="J89" s="6"/>
      <c r="K89" s="6"/>
      <c r="L89" s="6"/>
      <c r="M89" s="5">
        <f t="shared" si="0"/>
        <v>2000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 t="s">
        <v>368</v>
      </c>
      <c r="C90" s="6"/>
      <c r="D90" s="6">
        <v>1000</v>
      </c>
      <c r="E90" s="6"/>
      <c r="F90" s="6"/>
      <c r="G90" s="6"/>
      <c r="H90" s="6"/>
      <c r="I90" s="6"/>
      <c r="J90" s="6"/>
      <c r="K90" s="6"/>
      <c r="L90" s="6"/>
      <c r="M90" s="5">
        <f t="shared" si="0"/>
        <v>1000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 t="s">
        <v>369</v>
      </c>
      <c r="C91" s="6"/>
      <c r="D91" s="6"/>
      <c r="E91" s="6"/>
      <c r="F91" s="6"/>
      <c r="G91" s="6"/>
      <c r="H91" s="6"/>
      <c r="I91" s="6"/>
      <c r="J91" s="6"/>
      <c r="K91" s="6">
        <v>5000</v>
      </c>
      <c r="L91" s="6"/>
      <c r="M91" s="5">
        <f t="shared" si="0"/>
        <v>5000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 t="s">
        <v>370</v>
      </c>
      <c r="C92" s="6"/>
      <c r="D92" s="6">
        <v>500</v>
      </c>
      <c r="E92" s="6"/>
      <c r="F92" s="6"/>
      <c r="G92" s="6"/>
      <c r="H92" s="6"/>
      <c r="I92" s="6"/>
      <c r="J92" s="6"/>
      <c r="K92" s="6"/>
      <c r="L92" s="6"/>
      <c r="M92" s="5">
        <f t="shared" si="0"/>
        <v>500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 t="s">
        <v>371</v>
      </c>
      <c r="C93" s="6"/>
      <c r="D93" s="6">
        <v>10000</v>
      </c>
      <c r="E93" s="6"/>
      <c r="F93" s="6"/>
      <c r="G93" s="6"/>
      <c r="H93" s="6"/>
      <c r="I93" s="6"/>
      <c r="J93" s="6"/>
      <c r="K93" s="6"/>
      <c r="L93" s="6"/>
      <c r="M93" s="5">
        <f t="shared" si="0"/>
        <v>10000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 t="s">
        <v>372</v>
      </c>
      <c r="C94" s="6"/>
      <c r="D94" s="6">
        <v>20000</v>
      </c>
      <c r="E94" s="6"/>
      <c r="F94" s="6"/>
      <c r="G94" s="6"/>
      <c r="H94" s="6"/>
      <c r="I94" s="6"/>
      <c r="J94" s="6"/>
      <c r="K94" s="6"/>
      <c r="L94" s="6"/>
      <c r="M94" s="5">
        <f t="shared" si="0"/>
        <v>20000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 t="s">
        <v>373</v>
      </c>
      <c r="C95" s="6"/>
      <c r="D95" s="6">
        <v>2000</v>
      </c>
      <c r="E95" s="6"/>
      <c r="F95" s="6"/>
      <c r="G95" s="6"/>
      <c r="H95" s="6"/>
      <c r="I95" s="6"/>
      <c r="J95" s="6"/>
      <c r="K95" s="6"/>
      <c r="L95" s="6"/>
      <c r="M95" s="5">
        <f t="shared" si="0"/>
        <v>2000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 t="s">
        <v>374</v>
      </c>
      <c r="C96" s="6">
        <v>1000</v>
      </c>
      <c r="D96" s="6">
        <v>1000</v>
      </c>
      <c r="E96" s="6"/>
      <c r="F96" s="6"/>
      <c r="G96" s="6"/>
      <c r="H96" s="6"/>
      <c r="I96" s="6"/>
      <c r="J96" s="6"/>
      <c r="K96" s="6"/>
      <c r="L96" s="6"/>
      <c r="M96" s="5">
        <f t="shared" si="0"/>
        <v>2000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 t="s">
        <v>375</v>
      </c>
      <c r="C97" s="6">
        <v>40000</v>
      </c>
      <c r="D97" s="6">
        <v>4000</v>
      </c>
      <c r="E97" s="6"/>
      <c r="F97" s="6"/>
      <c r="G97" s="6"/>
      <c r="H97" s="6"/>
      <c r="I97" s="6"/>
      <c r="J97" s="6"/>
      <c r="K97" s="6"/>
      <c r="L97" s="6"/>
      <c r="M97" s="5">
        <f t="shared" si="0"/>
        <v>44000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 t="s">
        <v>376</v>
      </c>
      <c r="C98" s="6">
        <v>5000</v>
      </c>
      <c r="D98" s="6">
        <v>5000</v>
      </c>
      <c r="E98" s="6"/>
      <c r="F98" s="6"/>
      <c r="G98" s="6"/>
      <c r="H98" s="6"/>
      <c r="I98" s="6"/>
      <c r="J98" s="6"/>
      <c r="K98" s="6"/>
      <c r="L98" s="6"/>
      <c r="M98" s="5">
        <f t="shared" si="0"/>
        <v>10000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 t="s">
        <v>377</v>
      </c>
      <c r="C99" s="6">
        <v>2700</v>
      </c>
      <c r="D99" s="6">
        <v>2300</v>
      </c>
      <c r="E99" s="6"/>
      <c r="F99" s="6"/>
      <c r="G99" s="6"/>
      <c r="H99" s="6"/>
      <c r="I99" s="6"/>
      <c r="J99" s="6"/>
      <c r="K99" s="6"/>
      <c r="L99" s="6"/>
      <c r="M99" s="5">
        <f t="shared" si="0"/>
        <v>5000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 t="s">
        <v>253</v>
      </c>
      <c r="C100" s="6"/>
      <c r="D100" s="6">
        <v>20000</v>
      </c>
      <c r="E100" s="6"/>
      <c r="F100" s="6"/>
      <c r="G100" s="6"/>
      <c r="H100" s="6"/>
      <c r="I100" s="6"/>
      <c r="J100" s="6"/>
      <c r="K100" s="6"/>
      <c r="L100" s="6"/>
      <c r="M100" s="5">
        <f t="shared" si="0"/>
        <v>20000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 t="s">
        <v>378</v>
      </c>
      <c r="C101" s="6">
        <v>8000</v>
      </c>
      <c r="D101" s="6">
        <v>2000</v>
      </c>
      <c r="E101" s="6"/>
      <c r="F101" s="6"/>
      <c r="G101" s="6"/>
      <c r="H101" s="6"/>
      <c r="I101" s="6"/>
      <c r="J101" s="6"/>
      <c r="K101" s="6"/>
      <c r="L101" s="6"/>
      <c r="M101" s="5">
        <f t="shared" si="0"/>
        <v>10000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 t="s">
        <v>262</v>
      </c>
      <c r="C102" s="6"/>
      <c r="D102" s="6">
        <v>1000</v>
      </c>
      <c r="E102" s="6"/>
      <c r="F102" s="6"/>
      <c r="G102" s="6"/>
      <c r="H102" s="6"/>
      <c r="I102" s="6"/>
      <c r="J102" s="6"/>
      <c r="K102" s="6"/>
      <c r="L102" s="6"/>
      <c r="M102" s="5">
        <f t="shared" si="0"/>
        <v>1000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 t="s">
        <v>259</v>
      </c>
      <c r="C103" s="6"/>
      <c r="D103" s="6">
        <v>1000</v>
      </c>
      <c r="E103" s="6"/>
      <c r="F103" s="6"/>
      <c r="G103" s="6"/>
      <c r="H103" s="6"/>
      <c r="I103" s="6"/>
      <c r="J103" s="6"/>
      <c r="K103" s="6"/>
      <c r="L103" s="6"/>
      <c r="M103" s="5">
        <f t="shared" si="0"/>
        <v>1000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 t="s">
        <v>379</v>
      </c>
      <c r="C104" s="6">
        <v>1000</v>
      </c>
      <c r="D104" s="6"/>
      <c r="E104" s="6"/>
      <c r="F104" s="6"/>
      <c r="G104" s="6"/>
      <c r="H104" s="6"/>
      <c r="I104" s="6"/>
      <c r="J104" s="6"/>
      <c r="K104" s="6"/>
      <c r="L104" s="6"/>
      <c r="M104" s="5">
        <f t="shared" si="0"/>
        <v>1000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 t="s">
        <v>380</v>
      </c>
      <c r="C105" s="6">
        <v>500</v>
      </c>
      <c r="D105" s="6">
        <v>500</v>
      </c>
      <c r="E105" s="6"/>
      <c r="F105" s="6"/>
      <c r="G105" s="6"/>
      <c r="H105" s="6"/>
      <c r="I105" s="6"/>
      <c r="J105" s="6"/>
      <c r="K105" s="6"/>
      <c r="L105" s="6"/>
      <c r="M105" s="5">
        <f t="shared" si="0"/>
        <v>1000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 t="s">
        <v>381</v>
      </c>
      <c r="C106" s="6"/>
      <c r="D106" s="6">
        <v>2000</v>
      </c>
      <c r="E106" s="6"/>
      <c r="F106" s="6"/>
      <c r="G106" s="6"/>
      <c r="H106" s="6"/>
      <c r="I106" s="6"/>
      <c r="J106" s="6"/>
      <c r="K106" s="6"/>
      <c r="L106" s="6"/>
      <c r="M106" s="5">
        <f t="shared" si="0"/>
        <v>2000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 t="s">
        <v>272</v>
      </c>
      <c r="C107" s="6">
        <v>19500</v>
      </c>
      <c r="D107" s="6">
        <v>19500</v>
      </c>
      <c r="E107" s="6"/>
      <c r="F107" s="6"/>
      <c r="G107" s="6"/>
      <c r="H107" s="6"/>
      <c r="I107" s="6"/>
      <c r="J107" s="6"/>
      <c r="K107" s="6"/>
      <c r="L107" s="6"/>
      <c r="M107" s="5">
        <f t="shared" si="0"/>
        <v>39000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 t="s">
        <v>382</v>
      </c>
      <c r="C108" s="6">
        <v>200</v>
      </c>
      <c r="D108" s="6"/>
      <c r="E108" s="6"/>
      <c r="F108" s="6"/>
      <c r="G108" s="6"/>
      <c r="H108" s="6"/>
      <c r="I108" s="6"/>
      <c r="J108" s="6"/>
      <c r="K108" s="6"/>
      <c r="L108" s="6"/>
      <c r="M108" s="5">
        <f t="shared" si="0"/>
        <v>200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 t="s">
        <v>383</v>
      </c>
      <c r="C109" s="6">
        <v>100</v>
      </c>
      <c r="D109" s="6">
        <v>900</v>
      </c>
      <c r="E109" s="6"/>
      <c r="F109" s="6"/>
      <c r="G109" s="6"/>
      <c r="H109" s="6"/>
      <c r="I109" s="6"/>
      <c r="J109" s="6"/>
      <c r="K109" s="6"/>
      <c r="L109" s="6"/>
      <c r="M109" s="5">
        <f t="shared" si="0"/>
        <v>1000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 t="s">
        <v>283</v>
      </c>
      <c r="C110" s="6"/>
      <c r="D110" s="6">
        <v>1000</v>
      </c>
      <c r="E110" s="6"/>
      <c r="F110" s="6"/>
      <c r="G110" s="6"/>
      <c r="H110" s="6"/>
      <c r="I110" s="6"/>
      <c r="J110" s="6"/>
      <c r="K110" s="6"/>
      <c r="L110" s="6"/>
      <c r="M110" s="5">
        <f t="shared" si="0"/>
        <v>1000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 t="s">
        <v>384</v>
      </c>
      <c r="C111" s="6"/>
      <c r="D111" s="6">
        <v>1000</v>
      </c>
      <c r="E111" s="6"/>
      <c r="F111" s="6"/>
      <c r="G111" s="6"/>
      <c r="H111" s="6"/>
      <c r="I111" s="6"/>
      <c r="J111" s="6"/>
      <c r="K111" s="6"/>
      <c r="L111" s="6"/>
      <c r="M111" s="5">
        <f t="shared" si="0"/>
        <v>1000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 t="s">
        <v>385</v>
      </c>
      <c r="C112" s="6"/>
      <c r="D112" s="6">
        <v>12000</v>
      </c>
      <c r="E112" s="6"/>
      <c r="F112" s="6"/>
      <c r="G112" s="6"/>
      <c r="H112" s="6"/>
      <c r="I112" s="6"/>
      <c r="J112" s="6"/>
      <c r="K112" s="6"/>
      <c r="L112" s="6"/>
      <c r="M112" s="5">
        <f t="shared" si="0"/>
        <v>12000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 t="s">
        <v>282</v>
      </c>
      <c r="C113" s="6"/>
      <c r="D113" s="6">
        <v>1000</v>
      </c>
      <c r="E113" s="6"/>
      <c r="F113" s="6"/>
      <c r="G113" s="6"/>
      <c r="H113" s="6"/>
      <c r="I113" s="6"/>
      <c r="J113" s="6"/>
      <c r="K113" s="6"/>
      <c r="L113" s="6"/>
      <c r="M113" s="5">
        <f t="shared" si="0"/>
        <v>1000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 t="s">
        <v>386</v>
      </c>
      <c r="C114" s="6"/>
      <c r="D114" s="6">
        <v>5000</v>
      </c>
      <c r="E114" s="6"/>
      <c r="F114" s="6"/>
      <c r="G114" s="6"/>
      <c r="H114" s="6"/>
      <c r="I114" s="6"/>
      <c r="J114" s="6"/>
      <c r="K114" s="6"/>
      <c r="L114" s="6"/>
      <c r="M114" s="5">
        <f t="shared" si="0"/>
        <v>5000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 t="s">
        <v>387</v>
      </c>
      <c r="C115" s="6">
        <v>5000</v>
      </c>
      <c r="D115" s="6">
        <v>5000</v>
      </c>
      <c r="E115" s="6"/>
      <c r="F115" s="6"/>
      <c r="G115" s="6"/>
      <c r="H115" s="6"/>
      <c r="I115" s="6"/>
      <c r="J115" s="6"/>
      <c r="K115" s="6"/>
      <c r="L115" s="6"/>
      <c r="M115" s="5">
        <f t="shared" si="0"/>
        <v>10000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 t="s">
        <v>388</v>
      </c>
      <c r="C116" s="6"/>
      <c r="D116" s="6">
        <v>2000</v>
      </c>
      <c r="E116" s="6"/>
      <c r="F116" s="6"/>
      <c r="G116" s="6"/>
      <c r="H116" s="6"/>
      <c r="I116" s="6"/>
      <c r="J116" s="6"/>
      <c r="K116" s="6"/>
      <c r="L116" s="6"/>
      <c r="M116" s="5">
        <f t="shared" si="0"/>
        <v>2000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 t="s">
        <v>389</v>
      </c>
      <c r="C117" s="6">
        <v>2000</v>
      </c>
      <c r="D117" s="6"/>
      <c r="E117" s="6"/>
      <c r="F117" s="6"/>
      <c r="G117" s="6"/>
      <c r="H117" s="6"/>
      <c r="I117" s="6"/>
      <c r="J117" s="6"/>
      <c r="K117" s="6"/>
      <c r="L117" s="6"/>
      <c r="M117" s="5">
        <f t="shared" si="0"/>
        <v>2000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 t="s">
        <v>390</v>
      </c>
      <c r="C118" s="6">
        <v>20000</v>
      </c>
      <c r="D118" s="6">
        <v>2000</v>
      </c>
      <c r="E118" s="6"/>
      <c r="F118" s="6"/>
      <c r="G118" s="6"/>
      <c r="H118" s="6"/>
      <c r="I118" s="6"/>
      <c r="J118" s="6"/>
      <c r="K118" s="6"/>
      <c r="L118" s="6"/>
      <c r="M118" s="5">
        <f t="shared" si="0"/>
        <v>22000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 t="s">
        <v>391</v>
      </c>
      <c r="C119" s="6">
        <v>5000</v>
      </c>
      <c r="D119" s="6"/>
      <c r="E119" s="6"/>
      <c r="F119" s="6"/>
      <c r="G119" s="6"/>
      <c r="H119" s="6"/>
      <c r="I119" s="6"/>
      <c r="J119" s="6"/>
      <c r="K119" s="6"/>
      <c r="L119" s="6"/>
      <c r="M119" s="5">
        <f t="shared" si="0"/>
        <v>5000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16"/>
      <c r="B120" s="16" t="s">
        <v>265</v>
      </c>
      <c r="C120" s="16">
        <v>4000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74">
        <f t="shared" si="0"/>
        <v>4000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6"/>
      <c r="B121" s="6" t="s">
        <v>392</v>
      </c>
      <c r="C121" s="6">
        <v>5000</v>
      </c>
      <c r="D121" s="6"/>
      <c r="E121" s="6"/>
      <c r="F121" s="6"/>
      <c r="G121" s="6"/>
      <c r="H121" s="6"/>
      <c r="I121" s="6"/>
      <c r="J121" s="6"/>
      <c r="K121" s="6"/>
      <c r="L121" s="6"/>
      <c r="M121" s="5">
        <f t="shared" si="0"/>
        <v>5000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 t="s">
        <v>393</v>
      </c>
      <c r="C122" s="6">
        <v>250</v>
      </c>
      <c r="D122" s="6">
        <v>250</v>
      </c>
      <c r="E122" s="6"/>
      <c r="F122" s="6"/>
      <c r="G122" s="6"/>
      <c r="H122" s="6"/>
      <c r="I122" s="6"/>
      <c r="J122" s="6"/>
      <c r="K122" s="6"/>
      <c r="L122" s="6"/>
      <c r="M122" s="5">
        <f t="shared" si="0"/>
        <v>500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 t="s">
        <v>394</v>
      </c>
      <c r="C123" s="6"/>
      <c r="D123" s="6">
        <v>1000</v>
      </c>
      <c r="E123" s="6"/>
      <c r="F123" s="6"/>
      <c r="G123" s="6"/>
      <c r="H123" s="6"/>
      <c r="I123" s="6"/>
      <c r="J123" s="6"/>
      <c r="K123" s="6"/>
      <c r="L123" s="6"/>
      <c r="M123" s="5">
        <f t="shared" si="0"/>
        <v>1000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 t="s">
        <v>395</v>
      </c>
      <c r="C124" s="6">
        <v>500</v>
      </c>
      <c r="D124" s="6">
        <v>500</v>
      </c>
      <c r="E124" s="6"/>
      <c r="F124" s="6"/>
      <c r="G124" s="6"/>
      <c r="H124" s="6"/>
      <c r="I124" s="6"/>
      <c r="J124" s="6"/>
      <c r="K124" s="6"/>
      <c r="L124" s="6"/>
      <c r="M124" s="5">
        <f t="shared" si="0"/>
        <v>1000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 t="s">
        <v>396</v>
      </c>
      <c r="C125" s="6">
        <v>2000</v>
      </c>
      <c r="D125" s="6"/>
      <c r="E125" s="6"/>
      <c r="F125" s="6"/>
      <c r="G125" s="6"/>
      <c r="H125" s="6"/>
      <c r="I125" s="6"/>
      <c r="J125" s="6"/>
      <c r="K125" s="6"/>
      <c r="L125" s="6"/>
      <c r="M125" s="5">
        <f t="shared" si="0"/>
        <v>2000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 t="s">
        <v>397</v>
      </c>
      <c r="C126" s="6">
        <v>250</v>
      </c>
      <c r="D126" s="6">
        <v>250</v>
      </c>
      <c r="E126" s="6"/>
      <c r="F126" s="6"/>
      <c r="G126" s="6"/>
      <c r="H126" s="6"/>
      <c r="I126" s="6"/>
      <c r="J126" s="6"/>
      <c r="K126" s="6"/>
      <c r="L126" s="6"/>
      <c r="M126" s="5">
        <f t="shared" si="0"/>
        <v>500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 t="s">
        <v>398</v>
      </c>
      <c r="C127" s="6">
        <v>100</v>
      </c>
      <c r="D127" s="6"/>
      <c r="E127" s="6"/>
      <c r="F127" s="6"/>
      <c r="G127" s="6"/>
      <c r="H127" s="6"/>
      <c r="I127" s="6"/>
      <c r="J127" s="6"/>
      <c r="K127" s="6"/>
      <c r="L127" s="6"/>
      <c r="M127" s="5">
        <f t="shared" si="0"/>
        <v>100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 t="s">
        <v>399</v>
      </c>
      <c r="C128" s="6"/>
      <c r="D128" s="6">
        <v>1000</v>
      </c>
      <c r="E128" s="6"/>
      <c r="F128" s="6"/>
      <c r="G128" s="6"/>
      <c r="H128" s="6"/>
      <c r="I128" s="6"/>
      <c r="J128" s="6"/>
      <c r="K128" s="6"/>
      <c r="L128" s="6"/>
      <c r="M128" s="5">
        <f t="shared" si="0"/>
        <v>1000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 t="s">
        <v>400</v>
      </c>
      <c r="C129" s="6"/>
      <c r="D129" s="6">
        <v>1000</v>
      </c>
      <c r="E129" s="6"/>
      <c r="F129" s="6"/>
      <c r="G129" s="6"/>
      <c r="H129" s="6"/>
      <c r="I129" s="6"/>
      <c r="J129" s="6"/>
      <c r="K129" s="6"/>
      <c r="L129" s="6"/>
      <c r="M129" s="5">
        <f t="shared" si="0"/>
        <v>1000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 t="s">
        <v>401</v>
      </c>
      <c r="C130" s="6"/>
      <c r="D130" s="6">
        <v>2000</v>
      </c>
      <c r="E130" s="6"/>
      <c r="F130" s="6"/>
      <c r="G130" s="6"/>
      <c r="H130" s="6"/>
      <c r="I130" s="6"/>
      <c r="J130" s="6"/>
      <c r="K130" s="6"/>
      <c r="L130" s="6"/>
      <c r="M130" s="5">
        <f t="shared" si="0"/>
        <v>2000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 t="s">
        <v>402</v>
      </c>
      <c r="C131" s="6">
        <v>500</v>
      </c>
      <c r="D131" s="6">
        <v>1000</v>
      </c>
      <c r="E131" s="6"/>
      <c r="F131" s="6"/>
      <c r="G131" s="6">
        <v>500</v>
      </c>
      <c r="H131" s="6"/>
      <c r="I131" s="6"/>
      <c r="J131" s="6"/>
      <c r="K131" s="6"/>
      <c r="L131" s="6"/>
      <c r="M131" s="5">
        <f t="shared" si="0"/>
        <v>2000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 t="s">
        <v>403</v>
      </c>
      <c r="C132" s="6"/>
      <c r="D132" s="6">
        <v>1000</v>
      </c>
      <c r="E132" s="6"/>
      <c r="F132" s="6"/>
      <c r="G132" s="6"/>
      <c r="H132" s="6"/>
      <c r="I132" s="6"/>
      <c r="J132" s="6"/>
      <c r="K132" s="6"/>
      <c r="L132" s="6"/>
      <c r="M132" s="5">
        <f t="shared" si="0"/>
        <v>1000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 t="s">
        <v>404</v>
      </c>
      <c r="C133" s="6"/>
      <c r="D133" s="6">
        <v>1000</v>
      </c>
      <c r="E133" s="6"/>
      <c r="F133" s="6"/>
      <c r="G133" s="6"/>
      <c r="H133" s="6"/>
      <c r="I133" s="6"/>
      <c r="J133" s="6"/>
      <c r="K133" s="6"/>
      <c r="L133" s="6"/>
      <c r="M133" s="5">
        <f t="shared" si="0"/>
        <v>1000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 t="s">
        <v>405</v>
      </c>
      <c r="C134" s="6">
        <v>15000</v>
      </c>
      <c r="D134" s="6">
        <v>15000</v>
      </c>
      <c r="E134" s="6"/>
      <c r="F134" s="6"/>
      <c r="G134" s="6"/>
      <c r="H134" s="6"/>
      <c r="I134" s="6"/>
      <c r="J134" s="6"/>
      <c r="K134" s="6"/>
      <c r="L134" s="6"/>
      <c r="M134" s="5">
        <f t="shared" si="0"/>
        <v>30000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 t="s">
        <v>406</v>
      </c>
      <c r="C135" s="6"/>
      <c r="D135" s="6">
        <v>20000</v>
      </c>
      <c r="E135" s="6"/>
      <c r="F135" s="6"/>
      <c r="G135" s="6"/>
      <c r="H135" s="6"/>
      <c r="I135" s="6"/>
      <c r="J135" s="6"/>
      <c r="K135" s="6"/>
      <c r="L135" s="6"/>
      <c r="M135" s="5">
        <f t="shared" si="0"/>
        <v>20000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 t="s">
        <v>252</v>
      </c>
      <c r="C136" s="6">
        <v>1500</v>
      </c>
      <c r="D136" s="6">
        <v>1500</v>
      </c>
      <c r="E136" s="6"/>
      <c r="F136" s="6"/>
      <c r="G136" s="6"/>
      <c r="H136" s="6"/>
      <c r="I136" s="6"/>
      <c r="J136" s="6"/>
      <c r="K136" s="6"/>
      <c r="L136" s="6"/>
      <c r="M136" s="5">
        <f t="shared" si="0"/>
        <v>3000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 t="s">
        <v>407</v>
      </c>
      <c r="C137" s="6"/>
      <c r="D137" s="6">
        <v>1000</v>
      </c>
      <c r="E137" s="6"/>
      <c r="F137" s="6"/>
      <c r="G137" s="6"/>
      <c r="H137" s="6"/>
      <c r="I137" s="6"/>
      <c r="J137" s="6"/>
      <c r="K137" s="6"/>
      <c r="L137" s="6"/>
      <c r="M137" s="5">
        <f t="shared" si="0"/>
        <v>1000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 t="s">
        <v>408</v>
      </c>
      <c r="C138" s="6"/>
      <c r="D138" s="6">
        <v>1000</v>
      </c>
      <c r="E138" s="6"/>
      <c r="F138" s="6"/>
      <c r="G138" s="6"/>
      <c r="H138" s="6"/>
      <c r="I138" s="6"/>
      <c r="J138" s="6"/>
      <c r="K138" s="6"/>
      <c r="L138" s="6"/>
      <c r="M138" s="5">
        <f t="shared" si="0"/>
        <v>1000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 t="s">
        <v>409</v>
      </c>
      <c r="C139" s="6">
        <v>24100</v>
      </c>
      <c r="D139" s="6">
        <v>24100</v>
      </c>
      <c r="E139" s="6"/>
      <c r="F139" s="6"/>
      <c r="G139" s="6"/>
      <c r="H139" s="6"/>
      <c r="I139" s="6"/>
      <c r="J139" s="6"/>
      <c r="K139" s="6"/>
      <c r="L139" s="6"/>
      <c r="M139" s="5">
        <f t="shared" si="0"/>
        <v>48200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 t="s">
        <v>269</v>
      </c>
      <c r="C140" s="6">
        <v>15000</v>
      </c>
      <c r="D140" s="6"/>
      <c r="E140" s="6"/>
      <c r="F140" s="6"/>
      <c r="G140" s="6"/>
      <c r="H140" s="6"/>
      <c r="I140" s="6"/>
      <c r="J140" s="6"/>
      <c r="K140" s="6"/>
      <c r="L140" s="6"/>
      <c r="M140" s="75">
        <f t="shared" si="0"/>
        <v>15000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 t="s">
        <v>410</v>
      </c>
      <c r="C141" s="6"/>
      <c r="D141" s="6">
        <v>1000</v>
      </c>
      <c r="E141" s="6"/>
      <c r="F141" s="6"/>
      <c r="G141" s="6"/>
      <c r="H141" s="6"/>
      <c r="I141" s="6"/>
      <c r="J141" s="6"/>
      <c r="K141" s="6"/>
      <c r="L141" s="6"/>
      <c r="M141" s="5">
        <f t="shared" si="0"/>
        <v>1000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 t="s">
        <v>275</v>
      </c>
      <c r="C142" s="6"/>
      <c r="D142" s="6">
        <v>5000</v>
      </c>
      <c r="E142" s="6"/>
      <c r="F142" s="6"/>
      <c r="G142" s="6"/>
      <c r="H142" s="6"/>
      <c r="I142" s="6"/>
      <c r="J142" s="6"/>
      <c r="K142" s="6"/>
      <c r="L142" s="6"/>
      <c r="M142" s="5">
        <f t="shared" si="0"/>
        <v>5000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 t="s">
        <v>411</v>
      </c>
      <c r="C143" s="6"/>
      <c r="D143" s="6">
        <v>2000</v>
      </c>
      <c r="E143" s="6"/>
      <c r="F143" s="6"/>
      <c r="G143" s="6"/>
      <c r="H143" s="6"/>
      <c r="I143" s="6"/>
      <c r="J143" s="6"/>
      <c r="K143" s="6"/>
      <c r="L143" s="6"/>
      <c r="M143" s="5">
        <f t="shared" si="0"/>
        <v>2000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 t="s">
        <v>412</v>
      </c>
      <c r="C144" s="6">
        <v>10000</v>
      </c>
      <c r="D144" s="6">
        <v>10000</v>
      </c>
      <c r="E144" s="6"/>
      <c r="F144" s="6"/>
      <c r="G144" s="6"/>
      <c r="H144" s="6"/>
      <c r="I144" s="6"/>
      <c r="J144" s="6"/>
      <c r="K144" s="6"/>
      <c r="L144" s="6"/>
      <c r="M144" s="5">
        <f t="shared" si="0"/>
        <v>20000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 t="s">
        <v>413</v>
      </c>
      <c r="C145" s="6"/>
      <c r="D145" s="6">
        <v>5000</v>
      </c>
      <c r="E145" s="6"/>
      <c r="F145" s="6"/>
      <c r="G145" s="6"/>
      <c r="H145" s="6"/>
      <c r="I145" s="6"/>
      <c r="J145" s="6"/>
      <c r="K145" s="6"/>
      <c r="L145" s="6"/>
      <c r="M145" s="5">
        <f t="shared" si="0"/>
        <v>5000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 t="s">
        <v>414</v>
      </c>
      <c r="C146" s="6"/>
      <c r="D146" s="6"/>
      <c r="E146" s="6"/>
      <c r="F146" s="6"/>
      <c r="G146" s="6"/>
      <c r="H146" s="6"/>
      <c r="I146" s="6"/>
      <c r="J146" s="6"/>
      <c r="K146" s="6">
        <v>100000</v>
      </c>
      <c r="L146" s="6"/>
      <c r="M146" s="5">
        <f t="shared" si="0"/>
        <v>100000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 t="s">
        <v>415</v>
      </c>
      <c r="C147" s="6"/>
      <c r="D147" s="6">
        <v>5000</v>
      </c>
      <c r="E147" s="6"/>
      <c r="F147" s="6"/>
      <c r="G147" s="6"/>
      <c r="H147" s="6"/>
      <c r="I147" s="6"/>
      <c r="J147" s="6"/>
      <c r="K147" s="6"/>
      <c r="L147" s="6"/>
      <c r="M147" s="5">
        <f t="shared" si="0"/>
        <v>5000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 t="s">
        <v>416</v>
      </c>
      <c r="C148" s="6">
        <v>20000</v>
      </c>
      <c r="D148" s="6"/>
      <c r="E148" s="6"/>
      <c r="F148" s="6"/>
      <c r="G148" s="6"/>
      <c r="H148" s="6"/>
      <c r="I148" s="6"/>
      <c r="J148" s="6"/>
      <c r="K148" s="6"/>
      <c r="L148" s="6"/>
      <c r="M148" s="5">
        <f t="shared" si="0"/>
        <v>20000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 t="s">
        <v>287</v>
      </c>
      <c r="C149" s="6">
        <v>6000</v>
      </c>
      <c r="D149" s="6">
        <v>6000</v>
      </c>
      <c r="E149" s="6"/>
      <c r="F149" s="6"/>
      <c r="G149" s="6"/>
      <c r="H149" s="6"/>
      <c r="I149" s="6"/>
      <c r="J149" s="6"/>
      <c r="K149" s="6"/>
      <c r="L149" s="6"/>
      <c r="M149" s="5">
        <f t="shared" si="0"/>
        <v>12000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 t="s">
        <v>278</v>
      </c>
      <c r="C150" s="6"/>
      <c r="D150" s="6">
        <v>10000</v>
      </c>
      <c r="E150" s="6"/>
      <c r="F150" s="6"/>
      <c r="G150" s="6"/>
      <c r="H150" s="6"/>
      <c r="I150" s="6"/>
      <c r="J150" s="6"/>
      <c r="K150" s="6"/>
      <c r="L150" s="6"/>
      <c r="M150" s="5">
        <f t="shared" si="0"/>
        <v>10000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 t="s">
        <v>417</v>
      </c>
      <c r="C151" s="6"/>
      <c r="D151" s="6">
        <v>2000</v>
      </c>
      <c r="E151" s="6"/>
      <c r="F151" s="6"/>
      <c r="G151" s="6"/>
      <c r="H151" s="6"/>
      <c r="I151" s="6"/>
      <c r="J151" s="6"/>
      <c r="K151" s="6"/>
      <c r="L151" s="6"/>
      <c r="M151" s="5">
        <f t="shared" si="0"/>
        <v>2000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 t="s">
        <v>418</v>
      </c>
      <c r="C152" s="6">
        <v>315651.8</v>
      </c>
      <c r="D152" s="6">
        <v>34348.199999999997</v>
      </c>
      <c r="E152" s="6"/>
      <c r="F152" s="6"/>
      <c r="G152" s="6"/>
      <c r="H152" s="6"/>
      <c r="I152" s="6"/>
      <c r="J152" s="6"/>
      <c r="K152" s="6"/>
      <c r="L152" s="6"/>
      <c r="M152" s="5">
        <f t="shared" si="0"/>
        <v>350000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 t="s">
        <v>419</v>
      </c>
      <c r="C153" s="6"/>
      <c r="D153" s="6">
        <v>1000</v>
      </c>
      <c r="E153" s="6"/>
      <c r="F153" s="6"/>
      <c r="G153" s="6"/>
      <c r="H153" s="6"/>
      <c r="I153" s="6"/>
      <c r="J153" s="6"/>
      <c r="K153" s="6"/>
      <c r="L153" s="6"/>
      <c r="M153" s="5">
        <f t="shared" si="0"/>
        <v>1000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 t="s">
        <v>257</v>
      </c>
      <c r="C154" s="6"/>
      <c r="D154" s="6">
        <v>2000</v>
      </c>
      <c r="E154" s="6"/>
      <c r="F154" s="6"/>
      <c r="G154" s="6"/>
      <c r="H154" s="6"/>
      <c r="I154" s="6"/>
      <c r="J154" s="6"/>
      <c r="K154" s="6"/>
      <c r="L154" s="6"/>
      <c r="M154" s="5">
        <f t="shared" si="0"/>
        <v>2000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 t="s">
        <v>420</v>
      </c>
      <c r="C155" s="6"/>
      <c r="D155" s="6">
        <v>1000</v>
      </c>
      <c r="E155" s="6"/>
      <c r="F155" s="6"/>
      <c r="G155" s="6"/>
      <c r="H155" s="6"/>
      <c r="I155" s="6"/>
      <c r="J155" s="6"/>
      <c r="K155" s="6"/>
      <c r="L155" s="6"/>
      <c r="M155" s="5">
        <f t="shared" si="0"/>
        <v>1000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 t="s">
        <v>421</v>
      </c>
      <c r="C156" s="6">
        <v>10000</v>
      </c>
      <c r="D156" s="6"/>
      <c r="E156" s="6"/>
      <c r="F156" s="6"/>
      <c r="G156" s="6"/>
      <c r="H156" s="6"/>
      <c r="I156" s="6"/>
      <c r="J156" s="6"/>
      <c r="K156" s="6"/>
      <c r="L156" s="6"/>
      <c r="M156" s="5">
        <f t="shared" si="0"/>
        <v>10000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 t="s">
        <v>422</v>
      </c>
      <c r="C157" s="6"/>
      <c r="D157" s="6">
        <v>1000</v>
      </c>
      <c r="E157" s="6"/>
      <c r="F157" s="6"/>
      <c r="G157" s="6"/>
      <c r="H157" s="6"/>
      <c r="I157" s="6"/>
      <c r="J157" s="6"/>
      <c r="K157" s="6"/>
      <c r="L157" s="6"/>
      <c r="M157" s="5">
        <f t="shared" si="0"/>
        <v>1000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 t="s">
        <v>423</v>
      </c>
      <c r="C158" s="6">
        <v>2000</v>
      </c>
      <c r="D158" s="6"/>
      <c r="E158" s="6"/>
      <c r="F158" s="6"/>
      <c r="G158" s="6"/>
      <c r="H158" s="6"/>
      <c r="I158" s="6"/>
      <c r="J158" s="6"/>
      <c r="K158" s="6"/>
      <c r="L158" s="6"/>
      <c r="M158" s="5">
        <f t="shared" si="0"/>
        <v>2000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 t="s">
        <v>424</v>
      </c>
      <c r="C159" s="6"/>
      <c r="D159" s="6"/>
      <c r="E159" s="6"/>
      <c r="F159" s="6">
        <v>5000</v>
      </c>
      <c r="G159" s="6"/>
      <c r="H159" s="6"/>
      <c r="I159" s="6"/>
      <c r="J159" s="6"/>
      <c r="K159" s="6"/>
      <c r="L159" s="6"/>
      <c r="M159" s="5">
        <f t="shared" si="0"/>
        <v>5000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 t="s">
        <v>425</v>
      </c>
      <c r="C160" s="6">
        <v>2500</v>
      </c>
      <c r="D160" s="6">
        <v>2500</v>
      </c>
      <c r="E160" s="6"/>
      <c r="F160" s="6"/>
      <c r="G160" s="6"/>
      <c r="H160" s="6"/>
      <c r="I160" s="6"/>
      <c r="J160" s="6"/>
      <c r="K160" s="6"/>
      <c r="L160" s="6"/>
      <c r="M160" s="5">
        <f t="shared" si="0"/>
        <v>5000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 t="s">
        <v>426</v>
      </c>
      <c r="C161" s="6"/>
      <c r="D161" s="6">
        <v>50000</v>
      </c>
      <c r="E161" s="6"/>
      <c r="F161" s="6"/>
      <c r="G161" s="6"/>
      <c r="H161" s="6"/>
      <c r="I161" s="6"/>
      <c r="J161" s="6"/>
      <c r="K161" s="6"/>
      <c r="L161" s="6"/>
      <c r="M161" s="5">
        <f t="shared" si="0"/>
        <v>50000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 t="s">
        <v>427</v>
      </c>
      <c r="C162" s="6"/>
      <c r="D162" s="6">
        <v>500</v>
      </c>
      <c r="E162" s="6"/>
      <c r="F162" s="6"/>
      <c r="G162" s="6"/>
      <c r="H162" s="6"/>
      <c r="I162" s="6"/>
      <c r="J162" s="6"/>
      <c r="K162" s="6"/>
      <c r="L162" s="6"/>
      <c r="M162" s="5">
        <f t="shared" si="0"/>
        <v>500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 t="s">
        <v>428</v>
      </c>
      <c r="C163" s="6">
        <v>90000</v>
      </c>
      <c r="D163" s="6"/>
      <c r="E163" s="6"/>
      <c r="F163" s="6"/>
      <c r="G163" s="6"/>
      <c r="H163" s="6"/>
      <c r="I163" s="6"/>
      <c r="J163" s="6"/>
      <c r="K163" s="6"/>
      <c r="L163" s="6"/>
      <c r="M163" s="5">
        <f t="shared" si="0"/>
        <v>90000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 t="s">
        <v>429</v>
      </c>
      <c r="C164" s="6"/>
      <c r="D164" s="6">
        <v>5000</v>
      </c>
      <c r="E164" s="6"/>
      <c r="F164" s="6"/>
      <c r="G164" s="6"/>
      <c r="H164" s="6"/>
      <c r="I164" s="6"/>
      <c r="J164" s="6"/>
      <c r="K164" s="6"/>
      <c r="L164" s="6"/>
      <c r="M164" s="5">
        <f t="shared" si="0"/>
        <v>5000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 t="s">
        <v>430</v>
      </c>
      <c r="C165" s="6"/>
      <c r="D165" s="6">
        <v>1000</v>
      </c>
      <c r="E165" s="6"/>
      <c r="F165" s="6"/>
      <c r="G165" s="6"/>
      <c r="H165" s="6"/>
      <c r="I165" s="6"/>
      <c r="J165" s="6"/>
      <c r="K165" s="6"/>
      <c r="L165" s="6"/>
      <c r="M165" s="5">
        <f t="shared" si="0"/>
        <v>1000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 t="s">
        <v>280</v>
      </c>
      <c r="C166" s="6">
        <v>2000</v>
      </c>
      <c r="D166" s="6"/>
      <c r="E166" s="6"/>
      <c r="F166" s="6"/>
      <c r="G166" s="6"/>
      <c r="H166" s="6"/>
      <c r="I166" s="6"/>
      <c r="J166" s="6"/>
      <c r="K166" s="6"/>
      <c r="L166" s="6"/>
      <c r="M166" s="5">
        <f t="shared" si="0"/>
        <v>2000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 t="s">
        <v>431</v>
      </c>
      <c r="C167" s="6"/>
      <c r="D167" s="6">
        <v>2000</v>
      </c>
      <c r="E167" s="6"/>
      <c r="F167" s="6"/>
      <c r="G167" s="6"/>
      <c r="H167" s="6"/>
      <c r="I167" s="6"/>
      <c r="J167" s="6"/>
      <c r="K167" s="6"/>
      <c r="L167" s="6"/>
      <c r="M167" s="5">
        <f t="shared" si="0"/>
        <v>2000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 t="s">
        <v>279</v>
      </c>
      <c r="C168" s="6">
        <v>1000</v>
      </c>
      <c r="D168" s="6">
        <v>1000</v>
      </c>
      <c r="E168" s="6"/>
      <c r="F168" s="6"/>
      <c r="G168" s="6"/>
      <c r="H168" s="6"/>
      <c r="I168" s="6"/>
      <c r="J168" s="6"/>
      <c r="K168" s="6"/>
      <c r="L168" s="6"/>
      <c r="M168" s="5">
        <f t="shared" si="0"/>
        <v>2000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 t="s">
        <v>432</v>
      </c>
      <c r="C169" s="6">
        <v>20000</v>
      </c>
      <c r="D169" s="6"/>
      <c r="E169" s="6"/>
      <c r="F169" s="6"/>
      <c r="G169" s="6"/>
      <c r="H169" s="6"/>
      <c r="I169" s="6"/>
      <c r="J169" s="6"/>
      <c r="K169" s="6"/>
      <c r="L169" s="6"/>
      <c r="M169" s="5">
        <f t="shared" si="0"/>
        <v>20000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 t="s">
        <v>433</v>
      </c>
      <c r="C170" s="6"/>
      <c r="D170" s="6">
        <v>2000</v>
      </c>
      <c r="E170" s="6"/>
      <c r="F170" s="6"/>
      <c r="G170" s="6"/>
      <c r="H170" s="6"/>
      <c r="I170" s="6"/>
      <c r="J170" s="6"/>
      <c r="K170" s="6"/>
      <c r="L170" s="6"/>
      <c r="M170" s="5">
        <f t="shared" si="0"/>
        <v>2000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 t="s">
        <v>434</v>
      </c>
      <c r="C171" s="6">
        <v>100</v>
      </c>
      <c r="D171" s="6">
        <v>100</v>
      </c>
      <c r="E171" s="6"/>
      <c r="F171" s="6"/>
      <c r="G171" s="6"/>
      <c r="H171" s="6"/>
      <c r="I171" s="6"/>
      <c r="J171" s="6"/>
      <c r="K171" s="6"/>
      <c r="L171" s="6"/>
      <c r="M171" s="5">
        <f t="shared" si="0"/>
        <v>200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34"/>
      <c r="B172" s="34" t="s">
        <v>435</v>
      </c>
      <c r="C172" s="34">
        <v>1000</v>
      </c>
      <c r="D172" s="34"/>
      <c r="E172" s="34"/>
      <c r="F172" s="34"/>
      <c r="G172" s="34"/>
      <c r="H172" s="34"/>
      <c r="I172" s="34"/>
      <c r="J172" s="34"/>
      <c r="K172" s="34"/>
      <c r="L172" s="34"/>
      <c r="M172" s="75">
        <f t="shared" si="0"/>
        <v>1000</v>
      </c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>
      <c r="A173" s="6"/>
      <c r="B173" s="6" t="s">
        <v>436</v>
      </c>
      <c r="C173" s="6">
        <v>1000</v>
      </c>
      <c r="D173" s="6">
        <v>1000</v>
      </c>
      <c r="E173" s="6"/>
      <c r="F173" s="6"/>
      <c r="G173" s="6"/>
      <c r="H173" s="6"/>
      <c r="I173" s="6"/>
      <c r="J173" s="6"/>
      <c r="K173" s="6"/>
      <c r="L173" s="6"/>
      <c r="M173" s="5">
        <f t="shared" si="0"/>
        <v>2000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 t="s">
        <v>281</v>
      </c>
      <c r="C174" s="6"/>
      <c r="D174" s="6">
        <v>2000</v>
      </c>
      <c r="E174" s="6"/>
      <c r="F174" s="6"/>
      <c r="G174" s="6"/>
      <c r="H174" s="6"/>
      <c r="I174" s="6"/>
      <c r="J174" s="6"/>
      <c r="K174" s="6"/>
      <c r="L174" s="6"/>
      <c r="M174" s="5">
        <f t="shared" si="0"/>
        <v>2000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 t="s">
        <v>437</v>
      </c>
      <c r="C175" s="6"/>
      <c r="D175" s="6">
        <v>1000</v>
      </c>
      <c r="E175" s="6"/>
      <c r="F175" s="6"/>
      <c r="G175" s="6"/>
      <c r="H175" s="6"/>
      <c r="I175" s="6"/>
      <c r="J175" s="6"/>
      <c r="K175" s="6"/>
      <c r="L175" s="6"/>
      <c r="M175" s="5">
        <f t="shared" si="0"/>
        <v>1000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 t="s">
        <v>438</v>
      </c>
      <c r="C176" s="6"/>
      <c r="D176" s="6">
        <v>40000</v>
      </c>
      <c r="E176" s="6"/>
      <c r="F176" s="6"/>
      <c r="G176" s="6"/>
      <c r="H176" s="6"/>
      <c r="I176" s="6"/>
      <c r="J176" s="6"/>
      <c r="K176" s="6"/>
      <c r="L176" s="6"/>
      <c r="M176" s="5">
        <f t="shared" si="0"/>
        <v>40000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 t="s">
        <v>260</v>
      </c>
      <c r="C177" s="6"/>
      <c r="D177" s="6">
        <v>1000</v>
      </c>
      <c r="E177" s="6"/>
      <c r="F177" s="6"/>
      <c r="G177" s="6"/>
      <c r="H177" s="6"/>
      <c r="I177" s="6"/>
      <c r="J177" s="6"/>
      <c r="K177" s="6"/>
      <c r="L177" s="6"/>
      <c r="M177" s="5">
        <f t="shared" si="0"/>
        <v>1000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 t="s">
        <v>439</v>
      </c>
      <c r="C178" s="6">
        <v>3000</v>
      </c>
      <c r="D178" s="6"/>
      <c r="E178" s="6"/>
      <c r="F178" s="6"/>
      <c r="G178" s="6"/>
      <c r="H178" s="6"/>
      <c r="I178" s="6"/>
      <c r="J178" s="6"/>
      <c r="K178" s="6"/>
      <c r="L178" s="6"/>
      <c r="M178" s="5">
        <f t="shared" si="0"/>
        <v>3000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 t="s">
        <v>440</v>
      </c>
      <c r="C179" s="6"/>
      <c r="D179" s="6">
        <v>2000</v>
      </c>
      <c r="E179" s="6"/>
      <c r="F179" s="6"/>
      <c r="G179" s="6"/>
      <c r="H179" s="6"/>
      <c r="I179" s="6"/>
      <c r="J179" s="6"/>
      <c r="K179" s="6"/>
      <c r="L179" s="6"/>
      <c r="M179" s="5">
        <f t="shared" si="0"/>
        <v>2000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 t="s">
        <v>441</v>
      </c>
      <c r="C180" s="6">
        <v>11000</v>
      </c>
      <c r="D180" s="6"/>
      <c r="E180" s="6"/>
      <c r="F180" s="6"/>
      <c r="G180" s="6"/>
      <c r="H180" s="6"/>
      <c r="I180" s="6"/>
      <c r="J180" s="6"/>
      <c r="K180" s="6"/>
      <c r="L180" s="6"/>
      <c r="M180" s="5">
        <f t="shared" si="0"/>
        <v>11000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 t="s">
        <v>442</v>
      </c>
      <c r="C181" s="6">
        <v>7000</v>
      </c>
      <c r="D181" s="6">
        <v>5000</v>
      </c>
      <c r="E181" s="6"/>
      <c r="F181" s="6"/>
      <c r="G181" s="6"/>
      <c r="H181" s="6"/>
      <c r="I181" s="6"/>
      <c r="J181" s="6"/>
      <c r="K181" s="6"/>
      <c r="L181" s="6"/>
      <c r="M181" s="5">
        <f t="shared" si="0"/>
        <v>12000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 t="s">
        <v>443</v>
      </c>
      <c r="C182" s="6"/>
      <c r="D182" s="6">
        <v>5000</v>
      </c>
      <c r="E182" s="6"/>
      <c r="F182" s="6"/>
      <c r="G182" s="6"/>
      <c r="H182" s="6"/>
      <c r="I182" s="6"/>
      <c r="J182" s="6"/>
      <c r="K182" s="6"/>
      <c r="L182" s="6"/>
      <c r="M182" s="5">
        <f t="shared" si="0"/>
        <v>5000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 t="s">
        <v>444</v>
      </c>
      <c r="C183" s="6"/>
      <c r="D183" s="6">
        <v>5000</v>
      </c>
      <c r="E183" s="6"/>
      <c r="F183" s="6"/>
      <c r="G183" s="6"/>
      <c r="H183" s="6"/>
      <c r="I183" s="6"/>
      <c r="J183" s="6"/>
      <c r="K183" s="6"/>
      <c r="L183" s="6"/>
      <c r="M183" s="5">
        <f t="shared" si="0"/>
        <v>5000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 t="s">
        <v>445</v>
      </c>
      <c r="C184" s="6">
        <v>1000</v>
      </c>
      <c r="D184" s="6"/>
      <c r="E184" s="6"/>
      <c r="F184" s="6"/>
      <c r="G184" s="6"/>
      <c r="H184" s="6"/>
      <c r="I184" s="6"/>
      <c r="J184" s="6"/>
      <c r="K184" s="6"/>
      <c r="L184" s="6"/>
      <c r="M184" s="5">
        <f t="shared" si="0"/>
        <v>1000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 t="s">
        <v>285</v>
      </c>
      <c r="C185" s="6"/>
      <c r="D185" s="6">
        <v>2000</v>
      </c>
      <c r="E185" s="6"/>
      <c r="F185" s="6"/>
      <c r="G185" s="6"/>
      <c r="H185" s="6"/>
      <c r="I185" s="6"/>
      <c r="J185" s="6"/>
      <c r="K185" s="6"/>
      <c r="L185" s="6"/>
      <c r="M185" s="5">
        <f t="shared" si="0"/>
        <v>2000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 t="s">
        <v>446</v>
      </c>
      <c r="C186" s="6"/>
      <c r="D186" s="6">
        <v>10000</v>
      </c>
      <c r="E186" s="6"/>
      <c r="F186" s="6"/>
      <c r="G186" s="6"/>
      <c r="H186" s="6"/>
      <c r="I186" s="6"/>
      <c r="J186" s="6"/>
      <c r="K186" s="6"/>
      <c r="L186" s="6"/>
      <c r="M186" s="5">
        <f t="shared" si="0"/>
        <v>10000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 t="s">
        <v>277</v>
      </c>
      <c r="C187" s="6">
        <v>25400</v>
      </c>
      <c r="D187" s="6">
        <v>25400</v>
      </c>
      <c r="E187" s="6"/>
      <c r="F187" s="6"/>
      <c r="G187" s="6"/>
      <c r="H187" s="6"/>
      <c r="I187" s="6"/>
      <c r="J187" s="6"/>
      <c r="K187" s="6"/>
      <c r="L187" s="6"/>
      <c r="M187" s="5">
        <f t="shared" si="0"/>
        <v>50800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 t="s">
        <v>447</v>
      </c>
      <c r="C188" s="6"/>
      <c r="D188" s="6">
        <v>1000</v>
      </c>
      <c r="E188" s="6"/>
      <c r="F188" s="6"/>
      <c r="G188" s="6"/>
      <c r="H188" s="6"/>
      <c r="I188" s="6"/>
      <c r="J188" s="6"/>
      <c r="K188" s="6"/>
      <c r="L188" s="6"/>
      <c r="M188" s="5">
        <f t="shared" si="0"/>
        <v>1000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 t="s">
        <v>448</v>
      </c>
      <c r="C189" s="6"/>
      <c r="D189" s="6">
        <v>1000</v>
      </c>
      <c r="E189" s="6"/>
      <c r="F189" s="6"/>
      <c r="G189" s="6"/>
      <c r="H189" s="6"/>
      <c r="I189" s="6"/>
      <c r="J189" s="6"/>
      <c r="K189" s="6"/>
      <c r="L189" s="6"/>
      <c r="M189" s="5">
        <f t="shared" si="0"/>
        <v>1000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 t="s">
        <v>449</v>
      </c>
      <c r="C190" s="6">
        <v>6000</v>
      </c>
      <c r="D190" s="6"/>
      <c r="E190" s="6"/>
      <c r="F190" s="6"/>
      <c r="G190" s="6"/>
      <c r="H190" s="6"/>
      <c r="I190" s="6"/>
      <c r="J190" s="6"/>
      <c r="K190" s="6"/>
      <c r="L190" s="6"/>
      <c r="M190" s="5">
        <f t="shared" si="0"/>
        <v>6000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 t="s">
        <v>450</v>
      </c>
      <c r="C191" s="6">
        <v>10000</v>
      </c>
      <c r="D191" s="6">
        <v>5000</v>
      </c>
      <c r="E191" s="6"/>
      <c r="F191" s="6"/>
      <c r="G191" s="6"/>
      <c r="H191" s="6"/>
      <c r="I191" s="6"/>
      <c r="J191" s="6"/>
      <c r="K191" s="6"/>
      <c r="L191" s="6"/>
      <c r="M191" s="5">
        <f t="shared" si="0"/>
        <v>15000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 t="s">
        <v>451</v>
      </c>
      <c r="C192" s="6">
        <v>20000</v>
      </c>
      <c r="D192" s="6"/>
      <c r="E192" s="6"/>
      <c r="F192" s="6"/>
      <c r="G192" s="6"/>
      <c r="H192" s="6"/>
      <c r="I192" s="6"/>
      <c r="J192" s="6"/>
      <c r="K192" s="6"/>
      <c r="L192" s="6"/>
      <c r="M192" s="5">
        <f t="shared" si="0"/>
        <v>20000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 t="s">
        <v>452</v>
      </c>
      <c r="C193" s="6"/>
      <c r="D193" s="6"/>
      <c r="E193" s="6"/>
      <c r="F193" s="6">
        <v>20000</v>
      </c>
      <c r="G193" s="6"/>
      <c r="H193" s="6"/>
      <c r="I193" s="6"/>
      <c r="J193" s="6"/>
      <c r="K193" s="6"/>
      <c r="L193" s="6"/>
      <c r="M193" s="5">
        <f t="shared" si="0"/>
        <v>20000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 t="s">
        <v>453</v>
      </c>
      <c r="C194" s="6"/>
      <c r="D194" s="6">
        <v>5000</v>
      </c>
      <c r="E194" s="6"/>
      <c r="F194" s="6"/>
      <c r="G194" s="6"/>
      <c r="H194" s="6"/>
      <c r="I194" s="6"/>
      <c r="J194" s="6"/>
      <c r="K194" s="6"/>
      <c r="L194" s="6"/>
      <c r="M194" s="5">
        <f t="shared" si="0"/>
        <v>5000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 t="s">
        <v>454</v>
      </c>
      <c r="C195" s="6"/>
      <c r="D195" s="6">
        <v>2000</v>
      </c>
      <c r="E195" s="6"/>
      <c r="F195" s="6"/>
      <c r="G195" s="6"/>
      <c r="H195" s="6"/>
      <c r="I195" s="6"/>
      <c r="J195" s="6"/>
      <c r="K195" s="6"/>
      <c r="L195" s="6"/>
      <c r="M195" s="5">
        <f t="shared" si="0"/>
        <v>2000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 t="s">
        <v>455</v>
      </c>
      <c r="C196" s="6">
        <v>50000</v>
      </c>
      <c r="D196" s="6"/>
      <c r="E196" s="6"/>
      <c r="F196" s="6"/>
      <c r="G196" s="6"/>
      <c r="H196" s="6"/>
      <c r="I196" s="6"/>
      <c r="J196" s="6"/>
      <c r="K196" s="6"/>
      <c r="L196" s="6"/>
      <c r="M196" s="5">
        <f t="shared" si="0"/>
        <v>50000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 t="s">
        <v>276</v>
      </c>
      <c r="C197" s="6"/>
      <c r="D197" s="6">
        <v>5000</v>
      </c>
      <c r="E197" s="6"/>
      <c r="F197" s="6"/>
      <c r="G197" s="6"/>
      <c r="H197" s="6"/>
      <c r="I197" s="6"/>
      <c r="J197" s="6"/>
      <c r="K197" s="6"/>
      <c r="L197" s="6"/>
      <c r="M197" s="5">
        <f t="shared" si="0"/>
        <v>5000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 t="s">
        <v>456</v>
      </c>
      <c r="C198" s="6">
        <v>13000</v>
      </c>
      <c r="D198" s="6">
        <v>13000</v>
      </c>
      <c r="E198" s="6"/>
      <c r="F198" s="6"/>
      <c r="G198" s="6"/>
      <c r="H198" s="6"/>
      <c r="I198" s="6"/>
      <c r="J198" s="6"/>
      <c r="K198" s="6"/>
      <c r="L198" s="6"/>
      <c r="M198" s="5">
        <f t="shared" si="0"/>
        <v>26000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 t="s">
        <v>268</v>
      </c>
      <c r="C199" s="6">
        <v>1000</v>
      </c>
      <c r="D199" s="6">
        <v>1000</v>
      </c>
      <c r="E199" s="6"/>
      <c r="F199" s="6"/>
      <c r="G199" s="6"/>
      <c r="H199" s="6"/>
      <c r="I199" s="6"/>
      <c r="J199" s="6"/>
      <c r="K199" s="6"/>
      <c r="L199" s="6"/>
      <c r="M199" s="5">
        <f t="shared" si="0"/>
        <v>2000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 t="s">
        <v>457</v>
      </c>
      <c r="C200" s="6"/>
      <c r="D200" s="6">
        <v>1000</v>
      </c>
      <c r="E200" s="6"/>
      <c r="F200" s="6"/>
      <c r="G200" s="6"/>
      <c r="H200" s="6"/>
      <c r="I200" s="6"/>
      <c r="J200" s="6"/>
      <c r="K200" s="6"/>
      <c r="L200" s="6"/>
      <c r="M200" s="5">
        <f t="shared" si="0"/>
        <v>1000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 t="s">
        <v>458</v>
      </c>
      <c r="C201" s="6"/>
      <c r="D201" s="6">
        <v>1000</v>
      </c>
      <c r="E201" s="6"/>
      <c r="F201" s="6"/>
      <c r="G201" s="6"/>
      <c r="H201" s="6"/>
      <c r="I201" s="6"/>
      <c r="J201" s="6"/>
      <c r="K201" s="6"/>
      <c r="L201" s="6"/>
      <c r="M201" s="5">
        <f t="shared" si="0"/>
        <v>1000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 t="s">
        <v>459</v>
      </c>
      <c r="C202" s="6"/>
      <c r="D202" s="6">
        <v>2000</v>
      </c>
      <c r="E202" s="6"/>
      <c r="F202" s="6"/>
      <c r="G202" s="6"/>
      <c r="H202" s="6"/>
      <c r="I202" s="6"/>
      <c r="J202" s="6"/>
      <c r="K202" s="6"/>
      <c r="L202" s="6"/>
      <c r="M202" s="5">
        <f t="shared" si="0"/>
        <v>2000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 t="s">
        <v>460</v>
      </c>
      <c r="C203" s="6"/>
      <c r="D203" s="6">
        <v>1000</v>
      </c>
      <c r="E203" s="6"/>
      <c r="F203" s="6"/>
      <c r="G203" s="6"/>
      <c r="H203" s="6"/>
      <c r="I203" s="6"/>
      <c r="J203" s="6"/>
      <c r="K203" s="6"/>
      <c r="L203" s="6"/>
      <c r="M203" s="5">
        <f t="shared" si="0"/>
        <v>1000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 t="s">
        <v>461</v>
      </c>
      <c r="C204" s="6"/>
      <c r="D204" s="6">
        <v>1000</v>
      </c>
      <c r="E204" s="6"/>
      <c r="F204" s="6"/>
      <c r="G204" s="6"/>
      <c r="H204" s="6"/>
      <c r="I204" s="6"/>
      <c r="J204" s="6"/>
      <c r="K204" s="6"/>
      <c r="L204" s="6"/>
      <c r="M204" s="5">
        <f t="shared" si="0"/>
        <v>1000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 t="s">
        <v>462</v>
      </c>
      <c r="C205" s="6"/>
      <c r="D205" s="6">
        <v>1000</v>
      </c>
      <c r="E205" s="6"/>
      <c r="F205" s="6"/>
      <c r="G205" s="6"/>
      <c r="H205" s="6"/>
      <c r="I205" s="6"/>
      <c r="J205" s="6"/>
      <c r="K205" s="6"/>
      <c r="L205" s="6"/>
      <c r="M205" s="5">
        <f t="shared" si="0"/>
        <v>1000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34"/>
      <c r="B206" s="34" t="s">
        <v>463</v>
      </c>
      <c r="C206" s="34"/>
      <c r="D206" s="34">
        <v>500</v>
      </c>
      <c r="E206" s="34"/>
      <c r="F206" s="34"/>
      <c r="G206" s="34"/>
      <c r="H206" s="34"/>
      <c r="I206" s="34"/>
      <c r="J206" s="34"/>
      <c r="K206" s="34"/>
      <c r="L206" s="34"/>
      <c r="M206" s="75">
        <f t="shared" si="0"/>
        <v>500</v>
      </c>
      <c r="N206" s="34">
        <v>500</v>
      </c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>
      <c r="A207" s="6"/>
      <c r="B207" s="6" t="s">
        <v>464</v>
      </c>
      <c r="C207" s="6"/>
      <c r="D207" s="6">
        <v>1000</v>
      </c>
      <c r="E207" s="6"/>
      <c r="F207" s="6"/>
      <c r="G207" s="6"/>
      <c r="H207" s="6"/>
      <c r="I207" s="6"/>
      <c r="J207" s="6"/>
      <c r="K207" s="6"/>
      <c r="L207" s="6"/>
      <c r="M207" s="5">
        <f t="shared" si="0"/>
        <v>1000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 t="s">
        <v>465</v>
      </c>
      <c r="C208" s="6"/>
      <c r="D208" s="6">
        <v>2000</v>
      </c>
      <c r="E208" s="6"/>
      <c r="F208" s="6"/>
      <c r="G208" s="6"/>
      <c r="H208" s="6"/>
      <c r="I208" s="6"/>
      <c r="J208" s="6"/>
      <c r="K208" s="6"/>
      <c r="L208" s="6"/>
      <c r="M208" s="5">
        <f t="shared" si="0"/>
        <v>2000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 t="s">
        <v>466</v>
      </c>
      <c r="C209" s="6"/>
      <c r="D209" s="6">
        <v>1000</v>
      </c>
      <c r="E209" s="6"/>
      <c r="F209" s="6"/>
      <c r="G209" s="6"/>
      <c r="H209" s="6"/>
      <c r="I209" s="6"/>
      <c r="J209" s="6"/>
      <c r="K209" s="6"/>
      <c r="L209" s="6"/>
      <c r="M209" s="5">
        <f t="shared" si="0"/>
        <v>1000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 t="s">
        <v>467</v>
      </c>
      <c r="C210" s="6"/>
      <c r="D210" s="6">
        <v>2000</v>
      </c>
      <c r="E210" s="6"/>
      <c r="F210" s="6"/>
      <c r="G210" s="6"/>
      <c r="H210" s="6"/>
      <c r="I210" s="6"/>
      <c r="J210" s="6"/>
      <c r="K210" s="6"/>
      <c r="L210" s="6"/>
      <c r="M210" s="5">
        <f t="shared" si="0"/>
        <v>2000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 t="s">
        <v>468</v>
      </c>
      <c r="C211" s="6"/>
      <c r="D211" s="6">
        <v>1000</v>
      </c>
      <c r="E211" s="6"/>
      <c r="F211" s="6"/>
      <c r="G211" s="6"/>
      <c r="H211" s="6"/>
      <c r="I211" s="6"/>
      <c r="J211" s="6"/>
      <c r="K211" s="6"/>
      <c r="L211" s="6"/>
      <c r="M211" s="5">
        <f t="shared" si="0"/>
        <v>1000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 t="s">
        <v>274</v>
      </c>
      <c r="C212" s="6">
        <v>3000</v>
      </c>
      <c r="D212" s="6">
        <v>2000</v>
      </c>
      <c r="E212" s="6"/>
      <c r="F212" s="6"/>
      <c r="G212" s="6"/>
      <c r="H212" s="6"/>
      <c r="I212" s="6"/>
      <c r="J212" s="6"/>
      <c r="K212" s="6"/>
      <c r="L212" s="6"/>
      <c r="M212" s="5">
        <f t="shared" si="0"/>
        <v>5000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 t="s">
        <v>256</v>
      </c>
      <c r="C213" s="6">
        <v>5000</v>
      </c>
      <c r="D213" s="6">
        <v>5000</v>
      </c>
      <c r="E213" s="6"/>
      <c r="F213" s="6"/>
      <c r="G213" s="6"/>
      <c r="H213" s="6"/>
      <c r="I213" s="6"/>
      <c r="J213" s="6"/>
      <c r="K213" s="6"/>
      <c r="L213" s="6"/>
      <c r="M213" s="5">
        <f t="shared" si="0"/>
        <v>10000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 t="s">
        <v>271</v>
      </c>
      <c r="C214" s="6">
        <v>10300</v>
      </c>
      <c r="D214" s="6">
        <v>10300</v>
      </c>
      <c r="E214" s="6"/>
      <c r="F214" s="6"/>
      <c r="G214" s="6"/>
      <c r="H214" s="6"/>
      <c r="I214" s="6"/>
      <c r="J214" s="6"/>
      <c r="K214" s="6"/>
      <c r="L214" s="6"/>
      <c r="M214" s="5">
        <f t="shared" si="0"/>
        <v>20600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 t="s">
        <v>469</v>
      </c>
      <c r="C215" s="6"/>
      <c r="D215" s="6">
        <v>2000</v>
      </c>
      <c r="E215" s="6"/>
      <c r="F215" s="6"/>
      <c r="G215" s="6"/>
      <c r="H215" s="6"/>
      <c r="I215" s="6"/>
      <c r="J215" s="6"/>
      <c r="K215" s="6"/>
      <c r="L215" s="6"/>
      <c r="M215" s="5">
        <f t="shared" si="0"/>
        <v>2000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 t="s">
        <v>470</v>
      </c>
      <c r="C216" s="6">
        <v>10000</v>
      </c>
      <c r="D216" s="6">
        <v>3000</v>
      </c>
      <c r="E216" s="6"/>
      <c r="F216" s="6"/>
      <c r="G216" s="6">
        <v>2000</v>
      </c>
      <c r="H216" s="6"/>
      <c r="I216" s="6"/>
      <c r="J216" s="6"/>
      <c r="K216" s="6"/>
      <c r="L216" s="6"/>
      <c r="M216" s="5">
        <f t="shared" si="0"/>
        <v>15000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 t="s">
        <v>471</v>
      </c>
      <c r="C217" s="6">
        <v>5000</v>
      </c>
      <c r="D217" s="6">
        <v>5000</v>
      </c>
      <c r="E217" s="6"/>
      <c r="F217" s="6"/>
      <c r="G217" s="6"/>
      <c r="H217" s="6"/>
      <c r="I217" s="6"/>
      <c r="J217" s="6"/>
      <c r="K217" s="6"/>
      <c r="L217" s="6"/>
      <c r="M217" s="5">
        <f t="shared" si="0"/>
        <v>10000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 t="s">
        <v>472</v>
      </c>
      <c r="C218" s="6"/>
      <c r="D218" s="6">
        <v>2000</v>
      </c>
      <c r="E218" s="6"/>
      <c r="F218" s="6"/>
      <c r="G218" s="6"/>
      <c r="H218" s="6"/>
      <c r="I218" s="6"/>
      <c r="J218" s="6"/>
      <c r="K218" s="6"/>
      <c r="L218" s="6"/>
      <c r="M218" s="5">
        <f t="shared" si="0"/>
        <v>2000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 t="s">
        <v>473</v>
      </c>
      <c r="C219" s="6"/>
      <c r="D219" s="6">
        <v>20000</v>
      </c>
      <c r="E219" s="6"/>
      <c r="F219" s="6"/>
      <c r="G219" s="6"/>
      <c r="H219" s="6"/>
      <c r="I219" s="6"/>
      <c r="J219" s="6"/>
      <c r="K219" s="6"/>
      <c r="L219" s="6"/>
      <c r="M219" s="5">
        <f t="shared" si="0"/>
        <v>20000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 t="s">
        <v>273</v>
      </c>
      <c r="C220" s="6">
        <v>2500</v>
      </c>
      <c r="D220" s="6">
        <v>2500</v>
      </c>
      <c r="E220" s="6"/>
      <c r="F220" s="6"/>
      <c r="G220" s="6"/>
      <c r="H220" s="6"/>
      <c r="I220" s="6"/>
      <c r="J220" s="6"/>
      <c r="K220" s="6"/>
      <c r="L220" s="6"/>
      <c r="M220" s="5">
        <f t="shared" si="0"/>
        <v>5000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 t="s">
        <v>474</v>
      </c>
      <c r="C221" s="6">
        <v>500</v>
      </c>
      <c r="D221" s="6">
        <v>500</v>
      </c>
      <c r="E221" s="6"/>
      <c r="F221" s="6"/>
      <c r="G221" s="6"/>
      <c r="H221" s="6"/>
      <c r="I221" s="6"/>
      <c r="J221" s="6"/>
      <c r="K221" s="6"/>
      <c r="L221" s="6"/>
      <c r="M221" s="5">
        <f t="shared" si="0"/>
        <v>1000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 t="s">
        <v>475</v>
      </c>
      <c r="C222" s="6"/>
      <c r="D222" s="6">
        <v>2000</v>
      </c>
      <c r="E222" s="6"/>
      <c r="F222" s="6"/>
      <c r="G222" s="6"/>
      <c r="H222" s="6"/>
      <c r="I222" s="6"/>
      <c r="J222" s="6"/>
      <c r="K222" s="6"/>
      <c r="L222" s="6"/>
      <c r="M222" s="5">
        <f t="shared" si="0"/>
        <v>2000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 t="s">
        <v>476</v>
      </c>
      <c r="C223" s="6">
        <v>1000</v>
      </c>
      <c r="D223" s="6"/>
      <c r="E223" s="6"/>
      <c r="F223" s="6"/>
      <c r="G223" s="6"/>
      <c r="H223" s="6"/>
      <c r="I223" s="6"/>
      <c r="J223" s="6"/>
      <c r="K223" s="6"/>
      <c r="L223" s="6"/>
      <c r="M223" s="5">
        <f t="shared" si="0"/>
        <v>1000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 t="s">
        <v>477</v>
      </c>
      <c r="C224" s="6"/>
      <c r="D224" s="6">
        <v>1000</v>
      </c>
      <c r="E224" s="6"/>
      <c r="F224" s="6"/>
      <c r="G224" s="6"/>
      <c r="H224" s="6"/>
      <c r="I224" s="6"/>
      <c r="J224" s="6"/>
      <c r="K224" s="6"/>
      <c r="L224" s="6"/>
      <c r="M224" s="5">
        <f t="shared" si="0"/>
        <v>1000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 t="s">
        <v>266</v>
      </c>
      <c r="C225" s="6">
        <v>500</v>
      </c>
      <c r="D225" s="6">
        <v>500</v>
      </c>
      <c r="E225" s="6"/>
      <c r="F225" s="6"/>
      <c r="G225" s="6"/>
      <c r="H225" s="6"/>
      <c r="I225" s="6"/>
      <c r="J225" s="6"/>
      <c r="K225" s="6"/>
      <c r="L225" s="6"/>
      <c r="M225" s="5">
        <f t="shared" si="0"/>
        <v>1000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 t="s">
        <v>478</v>
      </c>
      <c r="C226" s="6">
        <v>500</v>
      </c>
      <c r="D226" s="6">
        <v>500</v>
      </c>
      <c r="E226" s="6"/>
      <c r="F226" s="6"/>
      <c r="G226" s="6"/>
      <c r="H226" s="6"/>
      <c r="I226" s="6"/>
      <c r="J226" s="6"/>
      <c r="K226" s="6"/>
      <c r="L226" s="6"/>
      <c r="M226" s="5">
        <f t="shared" si="0"/>
        <v>1000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34"/>
      <c r="B227" s="34" t="s">
        <v>479</v>
      </c>
      <c r="C227" s="34"/>
      <c r="D227" s="34">
        <v>2000</v>
      </c>
      <c r="E227" s="34"/>
      <c r="F227" s="34"/>
      <c r="G227" s="34"/>
      <c r="H227" s="34"/>
      <c r="I227" s="34"/>
      <c r="J227" s="34"/>
      <c r="K227" s="34"/>
      <c r="L227" s="34"/>
      <c r="M227" s="75">
        <f t="shared" si="0"/>
        <v>2000</v>
      </c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>
      <c r="A228" s="6"/>
      <c r="B228" s="6" t="s">
        <v>480</v>
      </c>
      <c r="C228" s="6"/>
      <c r="D228" s="6">
        <v>1000</v>
      </c>
      <c r="E228" s="6"/>
      <c r="F228" s="6"/>
      <c r="G228" s="6"/>
      <c r="H228" s="6"/>
      <c r="I228" s="6"/>
      <c r="J228" s="6"/>
      <c r="K228" s="6"/>
      <c r="L228" s="6"/>
      <c r="M228" s="5">
        <f t="shared" si="0"/>
        <v>1000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 t="s">
        <v>481</v>
      </c>
      <c r="C229" s="6"/>
      <c r="D229" s="6">
        <v>1000</v>
      </c>
      <c r="E229" s="6"/>
      <c r="F229" s="6"/>
      <c r="G229" s="6"/>
      <c r="H229" s="6"/>
      <c r="I229" s="6"/>
      <c r="J229" s="6"/>
      <c r="K229" s="6"/>
      <c r="L229" s="6"/>
      <c r="M229" s="5">
        <f t="shared" si="0"/>
        <v>1000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 t="s">
        <v>482</v>
      </c>
      <c r="C230" s="6">
        <v>2000</v>
      </c>
      <c r="D230" s="6"/>
      <c r="E230" s="6"/>
      <c r="F230" s="6"/>
      <c r="G230" s="6"/>
      <c r="H230" s="6"/>
      <c r="I230" s="6"/>
      <c r="J230" s="6"/>
      <c r="K230" s="6"/>
      <c r="L230" s="6"/>
      <c r="M230" s="5">
        <f t="shared" si="0"/>
        <v>2000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 t="s">
        <v>483</v>
      </c>
      <c r="C231" s="6"/>
      <c r="D231" s="6">
        <v>5000</v>
      </c>
      <c r="E231" s="6"/>
      <c r="F231" s="6"/>
      <c r="G231" s="6"/>
      <c r="H231" s="6"/>
      <c r="I231" s="6"/>
      <c r="J231" s="6"/>
      <c r="K231" s="6"/>
      <c r="L231" s="6"/>
      <c r="M231" s="5">
        <f t="shared" si="0"/>
        <v>5000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 t="s">
        <v>484</v>
      </c>
      <c r="C232" s="6"/>
      <c r="D232" s="6">
        <v>1000</v>
      </c>
      <c r="E232" s="6"/>
      <c r="F232" s="6"/>
      <c r="G232" s="6"/>
      <c r="H232" s="6"/>
      <c r="I232" s="6"/>
      <c r="J232" s="6"/>
      <c r="K232" s="6"/>
      <c r="L232" s="6"/>
      <c r="M232" s="5">
        <f t="shared" si="0"/>
        <v>1000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 t="s">
        <v>485</v>
      </c>
      <c r="C233" s="6"/>
      <c r="D233" s="6">
        <v>500</v>
      </c>
      <c r="E233" s="6"/>
      <c r="F233" s="6"/>
      <c r="G233" s="6"/>
      <c r="H233" s="6"/>
      <c r="I233" s="6"/>
      <c r="J233" s="6"/>
      <c r="K233" s="6"/>
      <c r="L233" s="6"/>
      <c r="M233" s="5">
        <f t="shared" si="0"/>
        <v>500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 t="s">
        <v>486</v>
      </c>
      <c r="C234" s="6"/>
      <c r="D234" s="6">
        <v>1000</v>
      </c>
      <c r="E234" s="6"/>
      <c r="F234" s="6"/>
      <c r="G234" s="6"/>
      <c r="H234" s="6"/>
      <c r="I234" s="6"/>
      <c r="J234" s="6"/>
      <c r="K234" s="6"/>
      <c r="L234" s="6"/>
      <c r="M234" s="5">
        <f t="shared" si="0"/>
        <v>1000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 t="s">
        <v>487</v>
      </c>
      <c r="C235" s="6"/>
      <c r="D235" s="6">
        <v>1000</v>
      </c>
      <c r="E235" s="6"/>
      <c r="F235" s="6"/>
      <c r="G235" s="6"/>
      <c r="H235" s="6"/>
      <c r="I235" s="6"/>
      <c r="J235" s="6"/>
      <c r="K235" s="6"/>
      <c r="L235" s="6"/>
      <c r="M235" s="5">
        <f t="shared" si="0"/>
        <v>1000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 t="s">
        <v>488</v>
      </c>
      <c r="C236" s="6"/>
      <c r="D236" s="6">
        <v>10000</v>
      </c>
      <c r="E236" s="6"/>
      <c r="F236" s="6"/>
      <c r="G236" s="6"/>
      <c r="H236" s="6"/>
      <c r="I236" s="6"/>
      <c r="J236" s="6"/>
      <c r="K236" s="6"/>
      <c r="L236" s="6"/>
      <c r="M236" s="5">
        <f t="shared" si="0"/>
        <v>10000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 t="s">
        <v>489</v>
      </c>
      <c r="C237" s="6"/>
      <c r="D237" s="6">
        <v>1000</v>
      </c>
      <c r="E237" s="6"/>
      <c r="F237" s="6"/>
      <c r="G237" s="6"/>
      <c r="H237" s="6"/>
      <c r="I237" s="6"/>
      <c r="J237" s="6"/>
      <c r="K237" s="6"/>
      <c r="L237" s="6"/>
      <c r="M237" s="5">
        <f t="shared" si="0"/>
        <v>1000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 t="s">
        <v>490</v>
      </c>
      <c r="C238" s="6"/>
      <c r="D238" s="6">
        <v>1000</v>
      </c>
      <c r="E238" s="6"/>
      <c r="F238" s="6"/>
      <c r="G238" s="6"/>
      <c r="H238" s="6"/>
      <c r="I238" s="6"/>
      <c r="J238" s="6"/>
      <c r="K238" s="6"/>
      <c r="L238" s="6"/>
      <c r="M238" s="5">
        <f t="shared" si="0"/>
        <v>1000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 t="s">
        <v>491</v>
      </c>
      <c r="C239" s="6"/>
      <c r="D239" s="6">
        <v>1000</v>
      </c>
      <c r="E239" s="6"/>
      <c r="F239" s="6"/>
      <c r="G239" s="6"/>
      <c r="H239" s="6"/>
      <c r="I239" s="6"/>
      <c r="J239" s="6"/>
      <c r="K239" s="6"/>
      <c r="L239" s="6"/>
      <c r="M239" s="5">
        <f t="shared" si="0"/>
        <v>1000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 t="s">
        <v>221</v>
      </c>
      <c r="C240" s="6"/>
      <c r="D240" s="6"/>
      <c r="E240" s="6">
        <v>280250</v>
      </c>
      <c r="F240" s="6"/>
      <c r="G240" s="6"/>
      <c r="H240" s="6"/>
      <c r="I240" s="6"/>
      <c r="J240" s="6"/>
      <c r="K240" s="6"/>
      <c r="L240" s="6"/>
      <c r="M240" s="5">
        <f t="shared" si="0"/>
        <v>280250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5">
        <f t="shared" si="0"/>
        <v>0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5">
        <f t="shared" si="0"/>
        <v>0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5">
        <f t="shared" si="0"/>
        <v>0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5">
        <f t="shared" si="0"/>
        <v>0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>
        <f t="shared" ref="M292:M297" si="11">SUM(C292:L292)</f>
        <v>0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>
        <f t="shared" si="11"/>
        <v>0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>
        <v>300000</v>
      </c>
      <c r="E294" s="6"/>
      <c r="F294" s="6"/>
      <c r="G294" s="6"/>
      <c r="H294" s="6"/>
      <c r="I294" s="6"/>
      <c r="J294" s="6"/>
      <c r="K294" s="6"/>
      <c r="L294" s="6"/>
      <c r="M294" s="6">
        <f t="shared" si="11"/>
        <v>300000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 t="s">
        <v>174</v>
      </c>
      <c r="C295" s="6">
        <v>40000</v>
      </c>
      <c r="D295" s="6">
        <v>40000</v>
      </c>
      <c r="E295" s="6"/>
      <c r="F295" s="6"/>
      <c r="G295" s="6"/>
      <c r="H295" s="6"/>
      <c r="I295" s="6"/>
      <c r="J295" s="6"/>
      <c r="K295" s="6"/>
      <c r="L295" s="6"/>
      <c r="M295" s="6">
        <f t="shared" si="11"/>
        <v>80000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 t="s">
        <v>247</v>
      </c>
      <c r="C296" s="6"/>
      <c r="D296" s="6">
        <v>80000</v>
      </c>
      <c r="E296" s="6"/>
      <c r="F296" s="6"/>
      <c r="G296" s="6"/>
      <c r="H296" s="6"/>
      <c r="I296" s="6"/>
      <c r="J296" s="6"/>
      <c r="K296" s="6"/>
      <c r="L296" s="6"/>
      <c r="M296" s="6">
        <f t="shared" si="11"/>
        <v>80000</v>
      </c>
      <c r="N296" s="6" t="s">
        <v>237</v>
      </c>
      <c r="O296" s="76" t="s">
        <v>493</v>
      </c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>
        <f>SUM(C241:C296)</f>
        <v>40000</v>
      </c>
      <c r="D297" s="6"/>
      <c r="E297" s="6"/>
      <c r="F297" s="6"/>
      <c r="G297" s="6"/>
      <c r="H297" s="6"/>
      <c r="I297" s="6"/>
      <c r="J297" s="6"/>
      <c r="K297" s="6"/>
      <c r="L297" s="6"/>
      <c r="M297" s="6">
        <f t="shared" si="11"/>
        <v>40000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6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 t="e">
        <f>SUM(M3:M241)</f>
        <v>#REF!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>
        <f>SUM(M248:M296)</f>
        <v>460000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 t="s">
        <v>494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>
        <f>L303-301</f>
        <v>-301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 t="s">
        <v>235</v>
      </c>
      <c r="L305" s="6" t="e">
        <f t="shared" ref="L305:L306" si="12">J301</f>
        <v>#REF!</v>
      </c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 t="s">
        <v>237</v>
      </c>
      <c r="L306" s="6">
        <f t="shared" si="12"/>
        <v>460000</v>
      </c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77" t="e">
        <f>SUM(L305:L306)</f>
        <v>#REF!</v>
      </c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77" t="s">
        <v>495</v>
      </c>
      <c r="D314" s="77" t="s">
        <v>496</v>
      </c>
      <c r="E314" s="77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5.5" customHeight="1">
      <c r="A315" s="6"/>
      <c r="B315" s="6" t="s">
        <v>497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5.5" customHeight="1">
      <c r="A316" s="6"/>
      <c r="B316" s="6" t="s">
        <v>244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5.5" customHeight="1">
      <c r="A317" s="6"/>
      <c r="B317" s="6" t="s">
        <v>492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7.75" customHeight="1">
      <c r="A320" s="6"/>
      <c r="B320" s="6" t="s">
        <v>498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7.75" customHeight="1">
      <c r="A321" s="6"/>
      <c r="B321" s="6" t="s">
        <v>499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3" customHeight="1">
      <c r="A322" s="6"/>
      <c r="B322" s="6" t="s">
        <v>525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/>
    <row r="524" spans="1:26" ht="15.75" customHeight="1"/>
    <row r="525" spans="1:26" ht="15.75" customHeight="1"/>
    <row r="526" spans="1:26" ht="15.75" customHeight="1"/>
    <row r="527" spans="1:26" ht="15.75" customHeight="1"/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04-JAN </vt:lpstr>
      <vt:lpstr>Sheet2</vt:lpstr>
      <vt:lpstr>TAARIFA CONF MWEZI JANUARY  (2</vt:lpstr>
      <vt:lpstr>TAARIFA CONF MWEZI JANUARY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Rweyemamu Barongo</cp:lastModifiedBy>
  <dcterms:created xsi:type="dcterms:W3CDTF">2025-06-16T14:54:32Z</dcterms:created>
  <dcterms:modified xsi:type="dcterms:W3CDTF">2026-02-22T16:57:44Z</dcterms:modified>
</cp:coreProperties>
</file>